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parrottkim/Projects/javascript/taskflow-backend/templates/"/>
    </mc:Choice>
  </mc:AlternateContent>
  <xr:revisionPtr revIDLastSave="0" documentId="13_ncr:1_{0AF200F6-756F-1E40-8E9F-8C8EE2B3C1D9}" xr6:coauthVersionLast="47" xr6:coauthVersionMax="47" xr10:uidLastSave="{00000000-0000-0000-0000-000000000000}"/>
  <bookViews>
    <workbookView xWindow="9180" yWindow="21600" windowWidth="33600" windowHeight="21000" tabRatio="500" xr2:uid="{00000000-000D-0000-FFFF-FFFF00000000}"/>
  </bookViews>
  <sheets>
    <sheet name="Domestic" sheetId="1" r:id="rId1"/>
    <sheet name="Overseas" sheetId="2" r:id="rId2"/>
  </sheets>
  <definedNames>
    <definedName name="_xlnm.Print_Area" localSheetId="0">Domestic!$A$1:$L$55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4" i="1" l="1"/>
  <c r="H47" i="2"/>
  <c r="H35" i="2"/>
  <c r="H38" i="2" s="1"/>
  <c r="H41" i="2" s="1"/>
  <c r="H30" i="2"/>
  <c r="H27" i="2"/>
  <c r="H21" i="2"/>
  <c r="H50" i="1"/>
  <c r="H47" i="1"/>
  <c r="H29" i="1"/>
  <c r="G28" i="1"/>
  <c r="G27" i="1"/>
  <c r="G26" i="1"/>
  <c r="H25" i="1"/>
  <c r="H21" i="1"/>
  <c r="G29" i="1" l="1"/>
  <c r="H30" i="1" s="1"/>
  <c r="H49" i="1" s="1"/>
  <c r="H48" i="2"/>
  <c r="H48" i="1" l="1"/>
</calcChain>
</file>

<file path=xl/sharedStrings.xml><?xml version="1.0" encoding="utf-8"?>
<sst xmlns="http://schemas.openxmlformats.org/spreadsheetml/2006/main" count="187" uniqueCount="96">
  <si>
    <t>국내 출장명령/정산서</t>
  </si>
  <si>
    <t>결재(사전-명령)</t>
  </si>
  <si>
    <t>담당</t>
  </si>
  <si>
    <t>부서장</t>
  </si>
  <si>
    <t>대표</t>
  </si>
  <si>
    <t>작 성  부 서</t>
  </si>
  <si>
    <t>작  성  자</t>
  </si>
  <si>
    <t>/</t>
  </si>
  <si>
    <t>출 장  목 적</t>
  </si>
  <si>
    <t>출장장소</t>
  </si>
  <si>
    <t>출 장  기 간</t>
  </si>
  <si>
    <t>부터</t>
  </si>
  <si>
    <t>PROJECT NO</t>
  </si>
  <si>
    <t>까지</t>
  </si>
  <si>
    <t>출장 업무 수행내용 요약</t>
  </si>
  <si>
    <t>프로젝트 보고서 서버 업로드 파일 참조(PJT보고서 업로드 한 경우 기입 생략)</t>
  </si>
  <si>
    <t>별도 PJT 보고서 없는 경우 수행 업무 내용 요약 작성하십시오.</t>
  </si>
  <si>
    <t>구  분</t>
  </si>
  <si>
    <t>규정</t>
  </si>
  <si>
    <t>사용(정산) 금액</t>
  </si>
  <si>
    <t>세부 구분</t>
  </si>
  <si>
    <t>단가</t>
  </si>
  <si>
    <t>회</t>
  </si>
  <si>
    <t>금액(원)</t>
  </si>
  <si>
    <t>내  역</t>
  </si>
  <si>
    <t>교통비
(출장지이동/복귀)</t>
  </si>
  <si>
    <t>항공</t>
  </si>
  <si>
    <t>실비</t>
  </si>
  <si>
    <t>KTX</t>
  </si>
  <si>
    <t>기타</t>
  </si>
  <si>
    <t>합계</t>
  </si>
  <si>
    <t>현지교통비</t>
  </si>
  <si>
    <t>주차비</t>
  </si>
  <si>
    <t>택시(이동 수단 없는 경우)</t>
  </si>
  <si>
    <t>버스(시내버스 제외-일비에 포함)</t>
  </si>
  <si>
    <t>숙박비
(1인1실)</t>
  </si>
  <si>
    <t>금/토,휴일 전 밤(울산)</t>
  </si>
  <si>
    <t>금/토,휴일 전 밤(울산 이외)</t>
  </si>
  <si>
    <t>주중,평일(전지역)</t>
  </si>
  <si>
    <t>숙박정산금액</t>
  </si>
  <si>
    <t>(규정 합계- 정산 합계)</t>
  </si>
  <si>
    <t>가.규정 초과인 경우 초과 금액은 일비를 차감후 지급</t>
  </si>
  <si>
    <t>나.규정 이하인 경우 해당 차액은 월간 개인합계 급여 추가 지급(과세)</t>
  </si>
  <si>
    <t>일  비</t>
  </si>
  <si>
    <t>가.일비는 숙박 영수증이 증빙되는 경우(1박 이상)에만 지급한다.</t>
  </si>
  <si>
    <t>나.1일 1건 이상의 사용 내역 첨부할 것(개인카드전표,현금영수증,기타)</t>
  </si>
  <si>
    <t>Y</t>
  </si>
  <si>
    <t>기  타</t>
  </si>
  <si>
    <t>기타 정산 항목</t>
  </si>
  <si>
    <t>법인차량 유류비</t>
  </si>
  <si>
    <r>
      <rPr>
        <sz val="14"/>
        <color theme="1"/>
        <rFont val="Pretendard"/>
      </rPr>
      <t>개인차량 유류비</t>
    </r>
    <r>
      <rPr>
        <b/>
        <sz val="14"/>
        <color theme="1"/>
        <rFont val="Pretendard Regular"/>
        <charset val="1"/>
      </rPr>
      <t>(Y)</t>
    </r>
  </si>
  <si>
    <t>유류단가(원)</t>
  </si>
  <si>
    <t>연비(km/L)</t>
  </si>
  <si>
    <t>운행거리(km)</t>
  </si>
  <si>
    <t>가.법인차량 배차가 어려운 경우에 한하여 개인차량 사용할 것.</t>
  </si>
  <si>
    <t>나.개인차량 주유 영수증(운행전 또는 운행중 유류단가확인용) 첨부할 것</t>
  </si>
  <si>
    <t>다.연비-개인차량정보, 운행거리 네이버 지도 검색 기준으로 반영할 것</t>
  </si>
  <si>
    <t>계</t>
  </si>
  <si>
    <t>전체 비용 합계</t>
  </si>
  <si>
    <t>(과세) 수령금액</t>
  </si>
  <si>
    <t>(비과세) 수령금액</t>
  </si>
  <si>
    <t>출장일비+개인차량유류비</t>
  </si>
  <si>
    <t>결재(사후-정산)</t>
  </si>
  <si>
    <t>㈜단테크 "單-make simple"</t>
  </si>
  <si>
    <t>해외 출장명령/정산서</t>
  </si>
  <si>
    <t>금액</t>
  </si>
  <si>
    <t>픽업(국내-택시)</t>
  </si>
  <si>
    <t>픽업(현지)</t>
  </si>
  <si>
    <t>합계-KRW</t>
  </si>
  <si>
    <t>가.국내 공항이동 리무진 비용은 일비에 포함한다. 별도 실비정산-X</t>
  </si>
  <si>
    <t>나.국내 공항이동 택시는 부서장 사전 승인을 필할 것(야간,화물,기타사유)</t>
  </si>
  <si>
    <t>택시</t>
  </si>
  <si>
    <t>렌탈</t>
  </si>
  <si>
    <t>숙박</t>
  </si>
  <si>
    <t>가.숙박비 한도는 규정을 따를 것(A/B/C지역및직급 구분)</t>
  </si>
  <si>
    <t>USD($)/1일</t>
  </si>
  <si>
    <t>해외A/B/C-일비(매니저)</t>
  </si>
  <si>
    <t>해외A/B/C-일비(책임매니저)</t>
  </si>
  <si>
    <t>해외A/B/C-일비(그외-공통, 임원포함)</t>
  </si>
  <si>
    <t>합계-USD</t>
  </si>
  <si>
    <t>렌탈, 택시 실비하는 경우 일비 10% 차감</t>
  </si>
  <si>
    <t>설날/추석명절 특별 일비 추가 지급</t>
  </si>
  <si>
    <t>(비과세) 수령금액(USD)</t>
  </si>
  <si>
    <t>출장일비-렌탈OR택시10%차감+명절일비추가지급</t>
  </si>
  <si>
    <t>가.일비는 항공권 출도착 기준으로 산정할 것</t>
  </si>
  <si>
    <t>여행자 보험</t>
  </si>
  <si>
    <t>유심 카드</t>
  </si>
  <si>
    <t>해외로밍</t>
  </si>
  <si>
    <t>현지 약물검사, 건강검진 서류 발급</t>
  </si>
  <si>
    <t>기  타</t>
    <phoneticPr fontId="17" type="noConversion"/>
  </si>
  <si>
    <t>일  비
(공통, 임원제외)</t>
    <phoneticPr fontId="17" type="noConversion"/>
  </si>
  <si>
    <t>휴일 대체
(공통, 임원제외)</t>
    <phoneticPr fontId="17" type="noConversion"/>
  </si>
  <si>
    <t>일비</t>
    <phoneticPr fontId="17" type="noConversion"/>
  </si>
  <si>
    <t>휴일·공휴일 근무 일수</t>
    <phoneticPr fontId="17" type="noConversion"/>
  </si>
  <si>
    <t>휴일·공휴일 이동 일수</t>
    <phoneticPr fontId="17" type="noConversion"/>
  </si>
  <si>
    <t>-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</si>
</sst>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-\₩* #,##0_-;&quot;-₩&quot;* #,##0_-;_-\₩* \-_-;_-@_-"/>
    <numFmt numFmtId="177" formatCode="yyyy/mm/dd;@"/>
    <numFmt numFmtId="178" formatCode="_-[$$-409]* #,##0_ ;_-[$$-409]* \-#,##0\ ;_-[$$-409]* \-??_ ;_-@_ "/>
    <numFmt numFmtId="179" formatCode="_(* #,##0_);_(* \(#,##0\);_(* \-_);_(@_)"/>
    <numFmt numFmtId="180" formatCode="#,##0_ ;[Red]\-#,##0\ "/>
    <numFmt numFmtId="181" formatCode="#,##0_ "/>
    <numFmt numFmtId="182" formatCode="#,##0;[Red]\-#,##0"/>
    <numFmt numFmtId="183" formatCode="_-[$₩-412]* #,##0_-;\-[$₩-412]* #,##0_-;_-[$₩-412]* \-??_-;_-@_-"/>
    <numFmt numFmtId="184" formatCode="_(\₩* #,##0_);_(\₩* \(#,##0\);_(\₩* \-_);_(@_)"/>
    <numFmt numFmtId="185" formatCode="_(\$* #,##0.00_);_(\$* \(#,##0.00\);_(\$* \-??_);_(@_)"/>
    <numFmt numFmtId="186" formatCode="_-* #,##0_-;\-* #,##0_-;_-* \-_-;_-@_-"/>
    <numFmt numFmtId="187" formatCode="_-* #,##0.00_-;\-* #,##0.00_-;_-* \-_-;_-@_-"/>
    <numFmt numFmtId="188" formatCode="\₩#,##0;[Red]&quot;-₩&quot;#,##0"/>
    <numFmt numFmtId="189" formatCode="_(\$* #,##0_);_(\$* \(#,##0\);_(\$* &quot;-&quot;_);_(@_)"/>
  </numFmts>
  <fonts count="18">
    <font>
      <sz val="12"/>
      <color theme="1"/>
      <name val="맑은 고딕"/>
      <family val="2"/>
      <charset val="129"/>
    </font>
    <font>
      <sz val="11"/>
      <name val="돋움"/>
      <family val="3"/>
      <charset val="129"/>
    </font>
    <font>
      <sz val="12"/>
      <color theme="1"/>
      <name val="Pretendard"/>
    </font>
    <font>
      <b/>
      <sz val="48"/>
      <name val="Pretendard"/>
    </font>
    <font>
      <b/>
      <sz val="14"/>
      <name val="Pretendard"/>
    </font>
    <font>
      <sz val="12"/>
      <name val="Pretendard"/>
    </font>
    <font>
      <sz val="14"/>
      <name val="Pretendard"/>
    </font>
    <font>
      <sz val="14"/>
      <color theme="1"/>
      <name val="Pretendard"/>
    </font>
    <font>
      <sz val="14"/>
      <color rgb="FF0000FF"/>
      <name val="Pretendard"/>
    </font>
    <font>
      <sz val="14"/>
      <color theme="0"/>
      <name val="Pretendard"/>
    </font>
    <font>
      <b/>
      <sz val="14"/>
      <color theme="1"/>
      <name val="Pretendard"/>
    </font>
    <font>
      <sz val="14"/>
      <color rgb="FFFF0000"/>
      <name val="Pretendard"/>
    </font>
    <font>
      <b/>
      <sz val="14"/>
      <color theme="1"/>
      <name val="Pretendard Regular"/>
      <charset val="1"/>
    </font>
    <font>
      <b/>
      <sz val="12"/>
      <name val="Pretendard"/>
    </font>
    <font>
      <sz val="14"/>
      <color rgb="FF000000"/>
      <name val="Pretendard"/>
    </font>
    <font>
      <b/>
      <sz val="14"/>
      <color rgb="FF000000"/>
      <name val="Pretendard"/>
    </font>
    <font>
      <sz val="12"/>
      <color theme="1"/>
      <name val="맑은 고딕"/>
      <family val="2"/>
      <charset val="129"/>
    </font>
    <font>
      <sz val="8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theme="7" tint="0.79979857783745845"/>
        <bgColor rgb="FFC1E5F5"/>
      </patternFill>
    </fill>
    <fill>
      <patternFill patternType="solid">
        <fgColor theme="0" tint="-0.14999847407452621"/>
        <bgColor rgb="FFC1E5F5"/>
      </patternFill>
    </fill>
    <fill>
      <patternFill patternType="solid">
        <fgColor theme="4" tint="0.79979857783745845"/>
        <bgColor rgb="FFCAEEFB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</fills>
  <borders count="41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6" fillId="0" borderId="0" applyBorder="0" applyProtection="0">
      <alignment vertical="center"/>
    </xf>
    <xf numFmtId="0" fontId="1" fillId="0" borderId="0"/>
    <xf numFmtId="178" fontId="16" fillId="0" borderId="0" applyBorder="0" applyProtection="0">
      <alignment vertical="center"/>
    </xf>
  </cellStyleXfs>
  <cellXfs count="16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5" fillId="0" borderId="0" xfId="2" applyFont="1" applyAlignment="1">
      <alignment vertical="center" wrapText="1"/>
    </xf>
    <xf numFmtId="0" fontId="4" fillId="0" borderId="5" xfId="2" applyFont="1" applyBorder="1" applyAlignment="1">
      <alignment vertical="center"/>
    </xf>
    <xf numFmtId="0" fontId="4" fillId="0" borderId="6" xfId="2" applyFont="1" applyBorder="1" applyAlignment="1">
      <alignment vertical="center"/>
    </xf>
    <xf numFmtId="0" fontId="6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7" fillId="0" borderId="0" xfId="0" applyFont="1">
      <alignment vertical="center"/>
    </xf>
    <xf numFmtId="0" fontId="2" fillId="0" borderId="18" xfId="0" applyFont="1" applyBorder="1">
      <alignment vertical="center"/>
    </xf>
    <xf numFmtId="0" fontId="2" fillId="0" borderId="19" xfId="0" applyFont="1" applyBorder="1">
      <alignment vertical="center"/>
    </xf>
    <xf numFmtId="0" fontId="4" fillId="3" borderId="24" xfId="2" applyFont="1" applyFill="1" applyBorder="1" applyAlignment="1">
      <alignment horizontal="center" vertical="center"/>
    </xf>
    <xf numFmtId="0" fontId="4" fillId="3" borderId="25" xfId="2" applyFont="1" applyFill="1" applyBorder="1" applyAlignment="1">
      <alignment horizontal="center" vertical="center"/>
    </xf>
    <xf numFmtId="0" fontId="4" fillId="3" borderId="27" xfId="2" applyFont="1" applyFill="1" applyBorder="1" applyAlignment="1">
      <alignment horizontal="center" vertical="center"/>
    </xf>
    <xf numFmtId="179" fontId="6" fillId="0" borderId="27" xfId="3" applyNumberFormat="1" applyFont="1" applyBorder="1" applyProtection="1">
      <alignment vertical="center"/>
    </xf>
    <xf numFmtId="0" fontId="6" fillId="0" borderId="27" xfId="2" applyFont="1" applyBorder="1" applyAlignment="1">
      <alignment vertical="center"/>
    </xf>
    <xf numFmtId="179" fontId="6" fillId="0" borderId="27" xfId="3" applyNumberFormat="1" applyFont="1" applyBorder="1" applyAlignment="1" applyProtection="1">
      <alignment horizontal="center" vertical="center"/>
    </xf>
    <xf numFmtId="179" fontId="6" fillId="0" borderId="25" xfId="3" applyNumberFormat="1" applyFont="1" applyBorder="1" applyProtection="1">
      <alignment vertical="center"/>
    </xf>
    <xf numFmtId="179" fontId="6" fillId="0" borderId="24" xfId="3" applyNumberFormat="1" applyFont="1" applyBorder="1" applyAlignment="1" applyProtection="1">
      <alignment horizontal="left" vertical="center" shrinkToFit="1"/>
    </xf>
    <xf numFmtId="179" fontId="4" fillId="4" borderId="27" xfId="3" applyNumberFormat="1" applyFont="1" applyFill="1" applyBorder="1" applyProtection="1">
      <alignment vertical="center"/>
    </xf>
    <xf numFmtId="179" fontId="4" fillId="4" borderId="27" xfId="3" applyNumberFormat="1" applyFont="1" applyFill="1" applyBorder="1" applyAlignment="1" applyProtection="1">
      <alignment horizontal="center" vertical="center"/>
    </xf>
    <xf numFmtId="179" fontId="4" fillId="4" borderId="25" xfId="3" applyNumberFormat="1" applyFont="1" applyFill="1" applyBorder="1" applyProtection="1">
      <alignment vertical="center"/>
    </xf>
    <xf numFmtId="179" fontId="4" fillId="4" borderId="24" xfId="3" applyNumberFormat="1" applyFont="1" applyFill="1" applyBorder="1" applyAlignment="1" applyProtection="1">
      <alignment horizontal="left" vertical="center" shrinkToFit="1"/>
    </xf>
    <xf numFmtId="0" fontId="6" fillId="0" borderId="27" xfId="2" applyFont="1" applyBorder="1" applyAlignment="1">
      <alignment horizontal="center" vertical="center"/>
    </xf>
    <xf numFmtId="0" fontId="6" fillId="0" borderId="25" xfId="2" applyFont="1" applyBorder="1" applyAlignment="1">
      <alignment vertical="center"/>
    </xf>
    <xf numFmtId="179" fontId="6" fillId="0" borderId="24" xfId="1" applyNumberFormat="1" applyFont="1" applyBorder="1" applyAlignment="1" applyProtection="1">
      <alignment horizontal="left" vertical="center" shrinkToFit="1"/>
    </xf>
    <xf numFmtId="179" fontId="6" fillId="5" borderId="27" xfId="3" applyNumberFormat="1" applyFont="1" applyFill="1" applyBorder="1" applyProtection="1">
      <alignment vertical="center"/>
    </xf>
    <xf numFmtId="179" fontId="6" fillId="5" borderId="27" xfId="3" applyNumberFormat="1" applyFont="1" applyFill="1" applyBorder="1" applyAlignment="1" applyProtection="1">
      <alignment horizontal="center" vertical="center"/>
    </xf>
    <xf numFmtId="179" fontId="6" fillId="5" borderId="25" xfId="3" applyNumberFormat="1" applyFont="1" applyFill="1" applyBorder="1" applyProtection="1">
      <alignment vertical="center"/>
    </xf>
    <xf numFmtId="180" fontId="4" fillId="5" borderId="24" xfId="3" applyNumberFormat="1" applyFont="1" applyFill="1" applyBorder="1" applyAlignment="1" applyProtection="1">
      <alignment horizontal="right" vertical="center" shrinkToFit="1"/>
    </xf>
    <xf numFmtId="179" fontId="9" fillId="0" borderId="24" xfId="3" applyNumberFormat="1" applyFont="1" applyBorder="1" applyAlignment="1" applyProtection="1">
      <alignment horizontal="left" vertical="center" shrinkToFit="1"/>
    </xf>
    <xf numFmtId="179" fontId="6" fillId="0" borderId="25" xfId="2" applyNumberFormat="1" applyFont="1" applyBorder="1" applyAlignment="1">
      <alignment vertical="center"/>
    </xf>
    <xf numFmtId="179" fontId="4" fillId="6" borderId="27" xfId="3" applyNumberFormat="1" applyFont="1" applyFill="1" applyBorder="1" applyProtection="1">
      <alignment vertical="center"/>
    </xf>
    <xf numFmtId="179" fontId="4" fillId="6" borderId="25" xfId="3" applyNumberFormat="1" applyFont="1" applyFill="1" applyBorder="1" applyAlignment="1" applyProtection="1">
      <alignment horizontal="center" vertical="center"/>
    </xf>
    <xf numFmtId="179" fontId="7" fillId="0" borderId="24" xfId="3" applyNumberFormat="1" applyFont="1" applyBorder="1" applyAlignment="1" applyProtection="1">
      <alignment horizontal="right" vertical="center" shrinkToFit="1"/>
    </xf>
    <xf numFmtId="179" fontId="6" fillId="6" borderId="27" xfId="3" applyNumberFormat="1" applyFont="1" applyFill="1" applyBorder="1" applyAlignment="1" applyProtection="1">
      <alignment horizontal="center" vertical="center"/>
    </xf>
    <xf numFmtId="0" fontId="6" fillId="6" borderId="27" xfId="2" applyFont="1" applyFill="1" applyBorder="1" applyAlignment="1">
      <alignment horizontal="center" vertical="center"/>
    </xf>
    <xf numFmtId="0" fontId="6" fillId="6" borderId="25" xfId="2" applyFont="1" applyFill="1" applyBorder="1" applyAlignment="1">
      <alignment horizontal="center" vertical="center"/>
    </xf>
    <xf numFmtId="179" fontId="11" fillId="0" borderId="24" xfId="3" applyNumberFormat="1" applyFont="1" applyBorder="1" applyAlignment="1" applyProtection="1">
      <alignment horizontal="right" vertical="center" shrinkToFit="1"/>
    </xf>
    <xf numFmtId="0" fontId="4" fillId="0" borderId="25" xfId="2" applyFont="1" applyBorder="1" applyAlignment="1">
      <alignment vertical="center"/>
    </xf>
    <xf numFmtId="181" fontId="4" fillId="0" borderId="24" xfId="2" applyNumberFormat="1" applyFont="1" applyBorder="1" applyAlignment="1">
      <alignment horizontal="right" vertical="center" shrinkToFit="1"/>
    </xf>
    <xf numFmtId="180" fontId="4" fillId="5" borderId="24" xfId="2" applyNumberFormat="1" applyFont="1" applyFill="1" applyBorder="1" applyAlignment="1">
      <alignment horizontal="right" vertical="center" shrinkToFit="1"/>
    </xf>
    <xf numFmtId="181" fontId="4" fillId="6" borderId="24" xfId="2" applyNumberFormat="1" applyFont="1" applyFill="1" applyBorder="1" applyAlignment="1">
      <alignment vertical="center" shrinkToFit="1"/>
    </xf>
    <xf numFmtId="0" fontId="4" fillId="0" borderId="29" xfId="2" applyFont="1" applyBorder="1" applyAlignment="1">
      <alignment horizontal="center" vertical="center"/>
    </xf>
    <xf numFmtId="0" fontId="4" fillId="0" borderId="30" xfId="2" applyFont="1" applyBorder="1" applyAlignment="1">
      <alignment vertical="center"/>
    </xf>
    <xf numFmtId="0" fontId="4" fillId="0" borderId="31" xfId="2" applyFont="1" applyBorder="1" applyAlignment="1">
      <alignment horizontal="center" vertical="center"/>
    </xf>
    <xf numFmtId="182" fontId="4" fillId="3" borderId="24" xfId="2" applyNumberFormat="1" applyFont="1" applyFill="1" applyBorder="1" applyAlignment="1">
      <alignment horizontal="center" vertical="center"/>
    </xf>
    <xf numFmtId="183" fontId="6" fillId="0" borderId="24" xfId="3" applyNumberFormat="1" applyFont="1" applyBorder="1" applyAlignment="1" applyProtection="1">
      <alignment horizontal="right" vertical="center" shrinkToFit="1"/>
    </xf>
    <xf numFmtId="184" fontId="4" fillId="4" borderId="24" xfId="3" applyNumberFormat="1" applyFont="1" applyFill="1" applyBorder="1" applyAlignment="1" applyProtection="1">
      <alignment horizontal="right" vertical="center" shrinkToFit="1"/>
    </xf>
    <xf numFmtId="179" fontId="15" fillId="4" borderId="25" xfId="3" applyNumberFormat="1" applyFont="1" applyFill="1" applyBorder="1" applyAlignment="1" applyProtection="1">
      <alignment vertical="center" shrinkToFit="1"/>
    </xf>
    <xf numFmtId="179" fontId="15" fillId="4" borderId="32" xfId="3" applyNumberFormat="1" applyFont="1" applyFill="1" applyBorder="1" applyAlignment="1" applyProtection="1">
      <alignment vertical="center" shrinkToFit="1"/>
    </xf>
    <xf numFmtId="179" fontId="15" fillId="4" borderId="33" xfId="3" applyNumberFormat="1" applyFont="1" applyFill="1" applyBorder="1" applyAlignment="1" applyProtection="1">
      <alignment vertical="center" shrinkToFit="1"/>
    </xf>
    <xf numFmtId="179" fontId="4" fillId="4" borderId="34" xfId="3" applyNumberFormat="1" applyFont="1" applyFill="1" applyBorder="1" applyAlignment="1" applyProtection="1">
      <alignment horizontal="center" vertical="center"/>
    </xf>
    <xf numFmtId="179" fontId="4" fillId="4" borderId="25" xfId="3" applyNumberFormat="1" applyFont="1" applyFill="1" applyBorder="1" applyAlignment="1" applyProtection="1">
      <alignment horizontal="center" vertical="center"/>
    </xf>
    <xf numFmtId="179" fontId="6" fillId="0" borderId="32" xfId="3" applyNumberFormat="1" applyFont="1" applyBorder="1" applyAlignment="1" applyProtection="1">
      <alignment vertical="center" wrapText="1"/>
    </xf>
    <xf numFmtId="179" fontId="6" fillId="0" borderId="24" xfId="3" applyNumberFormat="1" applyFont="1" applyBorder="1" applyAlignment="1" applyProtection="1">
      <alignment vertical="center" shrinkToFit="1"/>
    </xf>
    <xf numFmtId="185" fontId="6" fillId="0" borderId="27" xfId="3" applyNumberFormat="1" applyFont="1" applyBorder="1" applyProtection="1">
      <alignment vertical="center"/>
    </xf>
    <xf numFmtId="186" fontId="6" fillId="0" borderId="25" xfId="2" applyNumberFormat="1" applyFont="1" applyBorder="1" applyAlignment="1">
      <alignment vertical="center"/>
    </xf>
    <xf numFmtId="178" fontId="6" fillId="0" borderId="24" xfId="3" applyFont="1" applyBorder="1" applyAlignment="1" applyProtection="1">
      <alignment horizontal="right" vertical="center" shrinkToFit="1"/>
    </xf>
    <xf numFmtId="185" fontId="4" fillId="6" borderId="27" xfId="3" applyNumberFormat="1" applyFont="1" applyFill="1" applyBorder="1" applyAlignment="1" applyProtection="1">
      <alignment horizontal="center" vertical="center"/>
    </xf>
    <xf numFmtId="0" fontId="4" fillId="6" borderId="27" xfId="3" applyNumberFormat="1" applyFont="1" applyFill="1" applyBorder="1" applyProtection="1">
      <alignment vertical="center"/>
    </xf>
    <xf numFmtId="179" fontId="4" fillId="6" borderId="25" xfId="3" applyNumberFormat="1" applyFont="1" applyFill="1" applyBorder="1" applyProtection="1">
      <alignment vertical="center"/>
    </xf>
    <xf numFmtId="179" fontId="15" fillId="6" borderId="25" xfId="3" applyNumberFormat="1" applyFont="1" applyFill="1" applyBorder="1" applyAlignment="1" applyProtection="1">
      <alignment vertical="center" shrinkToFit="1"/>
    </xf>
    <xf numFmtId="179" fontId="15" fillId="6" borderId="32" xfId="3" applyNumberFormat="1" applyFont="1" applyFill="1" applyBorder="1" applyAlignment="1" applyProtection="1">
      <alignment vertical="center" shrinkToFit="1"/>
    </xf>
    <xf numFmtId="179" fontId="15" fillId="6" borderId="33" xfId="3" applyNumberFormat="1" applyFont="1" applyFill="1" applyBorder="1" applyAlignment="1" applyProtection="1">
      <alignment vertical="center" shrinkToFit="1"/>
    </xf>
    <xf numFmtId="9" fontId="6" fillId="0" borderId="30" xfId="1" applyNumberFormat="1" applyFont="1" applyBorder="1" applyAlignment="1" applyProtection="1">
      <alignment horizontal="right" vertical="center" shrinkToFit="1"/>
    </xf>
    <xf numFmtId="185" fontId="6" fillId="0" borderId="35" xfId="3" applyNumberFormat="1" applyFont="1" applyBorder="1" applyProtection="1">
      <alignment vertical="center"/>
    </xf>
    <xf numFmtId="0" fontId="6" fillId="0" borderId="33" xfId="2" applyFont="1" applyBorder="1" applyAlignment="1">
      <alignment vertical="center"/>
    </xf>
    <xf numFmtId="182" fontId="7" fillId="0" borderId="24" xfId="3" applyNumberFormat="1" applyFont="1" applyBorder="1" applyAlignment="1" applyProtection="1">
      <alignment horizontal="right" vertical="center" shrinkToFit="1"/>
    </xf>
    <xf numFmtId="187" fontId="4" fillId="4" borderId="27" xfId="3" applyNumberFormat="1" applyFont="1" applyFill="1" applyBorder="1" applyAlignment="1" applyProtection="1">
      <alignment horizontal="center" vertical="center"/>
    </xf>
    <xf numFmtId="179" fontId="6" fillId="4" borderId="27" xfId="3" applyNumberFormat="1" applyFont="1" applyFill="1" applyBorder="1" applyAlignment="1" applyProtection="1">
      <alignment horizontal="center" vertical="center"/>
    </xf>
    <xf numFmtId="179" fontId="6" fillId="4" borderId="27" xfId="3" applyNumberFormat="1" applyFont="1" applyFill="1" applyBorder="1" applyProtection="1">
      <alignment vertical="center"/>
    </xf>
    <xf numFmtId="179" fontId="6" fillId="4" borderId="25" xfId="3" applyNumberFormat="1" applyFont="1" applyFill="1" applyBorder="1" applyProtection="1">
      <alignment vertical="center"/>
    </xf>
    <xf numFmtId="0" fontId="4" fillId="0" borderId="27" xfId="2" applyFont="1" applyBorder="1" applyAlignment="1">
      <alignment horizontal="center" vertical="center"/>
    </xf>
    <xf numFmtId="0" fontId="4" fillId="0" borderId="27" xfId="2" applyFont="1" applyBorder="1" applyAlignment="1">
      <alignment vertical="center"/>
    </xf>
    <xf numFmtId="184" fontId="4" fillId="0" borderId="24" xfId="2" applyNumberFormat="1" applyFont="1" applyBorder="1" applyAlignment="1">
      <alignment horizontal="right" vertical="center" shrinkToFit="1"/>
    </xf>
    <xf numFmtId="189" fontId="4" fillId="6" borderId="24" xfId="2" applyNumberFormat="1" applyFont="1" applyFill="1" applyBorder="1" applyAlignment="1">
      <alignment horizontal="right" vertical="center" shrinkToFit="1"/>
    </xf>
    <xf numFmtId="189" fontId="4" fillId="6" borderId="30" xfId="3" applyNumberFormat="1" applyFont="1" applyFill="1" applyBorder="1" applyAlignment="1" applyProtection="1">
      <alignment horizontal="right" vertical="center" shrinkToFit="1"/>
    </xf>
    <xf numFmtId="0" fontId="11" fillId="0" borderId="25" xfId="2" applyFont="1" applyBorder="1" applyAlignment="1">
      <alignment horizontal="left" vertical="center"/>
    </xf>
    <xf numFmtId="179" fontId="4" fillId="6" borderId="24" xfId="3" applyNumberFormat="1" applyFont="1" applyFill="1" applyBorder="1" applyAlignment="1" applyProtection="1">
      <alignment horizontal="left" vertical="center" shrinkToFit="1"/>
    </xf>
    <xf numFmtId="0" fontId="4" fillId="6" borderId="25" xfId="3" applyNumberFormat="1" applyFont="1" applyFill="1" applyBorder="1" applyAlignment="1" applyProtection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3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 textRotation="255" shrinkToFit="1"/>
    </xf>
    <xf numFmtId="0" fontId="4" fillId="2" borderId="2" xfId="2" applyFont="1" applyFill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horizontal="center" vertical="center"/>
    </xf>
    <xf numFmtId="0" fontId="4" fillId="0" borderId="7" xfId="2" applyFont="1" applyBorder="1" applyAlignment="1">
      <alignment vertical="center"/>
    </xf>
    <xf numFmtId="0" fontId="4" fillId="0" borderId="12" xfId="2" applyFont="1" applyBorder="1" applyAlignment="1">
      <alignment horizontal="center" vertical="center" wrapText="1"/>
    </xf>
    <xf numFmtId="177" fontId="4" fillId="0" borderId="13" xfId="2" applyNumberFormat="1" applyFont="1" applyBorder="1" applyAlignment="1">
      <alignment horizontal="center" vertical="center"/>
    </xf>
    <xf numFmtId="0" fontId="4" fillId="0" borderId="14" xfId="2" applyFont="1" applyBorder="1" applyAlignment="1">
      <alignment vertical="center"/>
    </xf>
    <xf numFmtId="0" fontId="4" fillId="2" borderId="7" xfId="2" applyFont="1" applyFill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177" fontId="4" fillId="0" borderId="16" xfId="2" applyNumberFormat="1" applyFont="1" applyBorder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4" fillId="2" borderId="20" xfId="2" applyFont="1" applyFill="1" applyBorder="1" applyAlignment="1">
      <alignment horizontal="center" vertical="center"/>
    </xf>
    <xf numFmtId="0" fontId="7" fillId="2" borderId="21" xfId="2" applyFont="1" applyFill="1" applyBorder="1" applyAlignment="1">
      <alignment vertical="center" wrapText="1"/>
    </xf>
    <xf numFmtId="0" fontId="4" fillId="2" borderId="22" xfId="2" applyFont="1" applyFill="1" applyBorder="1" applyAlignment="1">
      <alignment vertical="center" wrapText="1"/>
    </xf>
    <xf numFmtId="0" fontId="5" fillId="0" borderId="23" xfId="2" applyFont="1" applyBorder="1" applyAlignment="1">
      <alignment vertical="center" wrapText="1"/>
    </xf>
    <xf numFmtId="0" fontId="4" fillId="3" borderId="24" xfId="2" applyFont="1" applyFill="1" applyBorder="1" applyAlignment="1">
      <alignment horizontal="center" vertical="center"/>
    </xf>
    <xf numFmtId="0" fontId="4" fillId="3" borderId="25" xfId="2" applyFont="1" applyFill="1" applyBorder="1" applyAlignment="1">
      <alignment horizontal="center" vertical="center"/>
    </xf>
    <xf numFmtId="0" fontId="4" fillId="3" borderId="26" xfId="2" applyFont="1" applyFill="1" applyBorder="1" applyAlignment="1">
      <alignment horizontal="center" vertical="center"/>
    </xf>
    <xf numFmtId="0" fontId="4" fillId="3" borderId="27" xfId="2" applyFont="1" applyFill="1" applyBorder="1" applyAlignment="1">
      <alignment horizontal="center" vertical="center"/>
    </xf>
    <xf numFmtId="0" fontId="4" fillId="3" borderId="28" xfId="2" applyFont="1" applyFill="1" applyBorder="1" applyAlignment="1">
      <alignment horizontal="center" vertical="center"/>
    </xf>
    <xf numFmtId="179" fontId="6" fillId="0" borderId="24" xfId="3" applyNumberFormat="1" applyFont="1" applyBorder="1" applyAlignment="1" applyProtection="1">
      <alignment horizontal="center" vertical="center" wrapText="1"/>
    </xf>
    <xf numFmtId="179" fontId="6" fillId="0" borderId="27" xfId="3" applyNumberFormat="1" applyFont="1" applyBorder="1" applyProtection="1">
      <alignment vertical="center"/>
    </xf>
    <xf numFmtId="179" fontId="4" fillId="4" borderId="27" xfId="3" applyNumberFormat="1" applyFont="1" applyFill="1" applyBorder="1" applyProtection="1">
      <alignment vertical="center"/>
    </xf>
    <xf numFmtId="0" fontId="4" fillId="4" borderId="28" xfId="3" applyNumberFormat="1" applyFont="1" applyFill="1" applyBorder="1" applyAlignment="1" applyProtection="1">
      <alignment horizontal="left" vertical="center" shrinkToFit="1"/>
    </xf>
    <xf numFmtId="0" fontId="6" fillId="0" borderId="24" xfId="2" applyFont="1" applyBorder="1" applyAlignment="1">
      <alignment horizontal="center" vertical="center"/>
    </xf>
    <xf numFmtId="0" fontId="6" fillId="0" borderId="27" xfId="2" applyFont="1" applyBorder="1" applyAlignment="1">
      <alignment vertical="center"/>
    </xf>
    <xf numFmtId="179" fontId="4" fillId="5" borderId="27" xfId="3" applyNumberFormat="1" applyFont="1" applyFill="1" applyBorder="1" applyProtection="1">
      <alignment vertical="center"/>
    </xf>
    <xf numFmtId="0" fontId="6" fillId="5" borderId="28" xfId="3" applyNumberFormat="1" applyFont="1" applyFill="1" applyBorder="1" applyAlignment="1" applyProtection="1">
      <alignment horizontal="left" vertical="center" shrinkToFit="1"/>
    </xf>
    <xf numFmtId="179" fontId="8" fillId="0" borderId="25" xfId="3" applyNumberFormat="1" applyFont="1" applyBorder="1" applyAlignment="1" applyProtection="1">
      <alignment horizontal="left" vertical="center"/>
    </xf>
    <xf numFmtId="0" fontId="9" fillId="0" borderId="28" xfId="3" applyNumberFormat="1" applyFont="1" applyBorder="1" applyAlignment="1" applyProtection="1">
      <alignment horizontal="left" vertical="center" shrinkToFit="1"/>
    </xf>
    <xf numFmtId="0" fontId="6" fillId="0" borderId="24" xfId="2" applyFont="1" applyBorder="1" applyAlignment="1">
      <alignment horizontal="center" vertical="center" wrapText="1"/>
    </xf>
    <xf numFmtId="179" fontId="10" fillId="6" borderId="27" xfId="3" applyNumberFormat="1" applyFont="1" applyFill="1" applyBorder="1" applyProtection="1">
      <alignment vertical="center"/>
    </xf>
    <xf numFmtId="0" fontId="4" fillId="6" borderId="28" xfId="3" applyNumberFormat="1" applyFont="1" applyFill="1" applyBorder="1" applyAlignment="1" applyProtection="1">
      <alignment horizontal="left" vertical="center" shrinkToFit="1"/>
    </xf>
    <xf numFmtId="0" fontId="8" fillId="0" borderId="25" xfId="2" applyFont="1" applyBorder="1" applyAlignment="1">
      <alignment horizontal="left" vertical="center"/>
    </xf>
    <xf numFmtId="0" fontId="6" fillId="0" borderId="28" xfId="3" applyNumberFormat="1" applyFont="1" applyBorder="1" applyAlignment="1" applyProtection="1">
      <alignment horizontal="left" vertical="center" shrinkToFit="1"/>
    </xf>
    <xf numFmtId="0" fontId="11" fillId="0" borderId="25" xfId="2" applyFont="1" applyBorder="1" applyAlignment="1">
      <alignment horizontal="left" vertical="center"/>
    </xf>
    <xf numFmtId="0" fontId="7" fillId="0" borderId="28" xfId="3" applyNumberFormat="1" applyFont="1" applyBorder="1" applyAlignment="1" applyProtection="1">
      <alignment horizontal="right" vertical="center" shrinkToFit="1"/>
    </xf>
    <xf numFmtId="0" fontId="7" fillId="6" borderId="27" xfId="2" applyFont="1" applyFill="1" applyBorder="1" applyAlignment="1">
      <alignment horizontal="left" vertical="center"/>
    </xf>
    <xf numFmtId="0" fontId="11" fillId="0" borderId="28" xfId="3" applyNumberFormat="1" applyFont="1" applyBorder="1" applyAlignment="1" applyProtection="1">
      <alignment horizontal="right" vertical="center" shrinkToFit="1"/>
    </xf>
    <xf numFmtId="0" fontId="13" fillId="2" borderId="0" xfId="2" applyFont="1" applyFill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4" fillId="0" borderId="25" xfId="2" applyFont="1" applyBorder="1" applyAlignment="1">
      <alignment vertical="center"/>
    </xf>
    <xf numFmtId="0" fontId="4" fillId="0" borderId="28" xfId="2" applyFont="1" applyBorder="1" applyAlignment="1">
      <alignment horizontal="right" vertical="center" shrinkToFit="1"/>
    </xf>
    <xf numFmtId="0" fontId="4" fillId="5" borderId="25" xfId="2" applyFont="1" applyFill="1" applyBorder="1" applyAlignment="1">
      <alignment vertical="center"/>
    </xf>
    <xf numFmtId="0" fontId="6" fillId="5" borderId="28" xfId="2" applyFont="1" applyFill="1" applyBorder="1" applyAlignment="1">
      <alignment vertical="center" shrinkToFit="1"/>
    </xf>
    <xf numFmtId="0" fontId="4" fillId="6" borderId="25" xfId="2" applyFont="1" applyFill="1" applyBorder="1" applyAlignment="1">
      <alignment vertical="center"/>
    </xf>
    <xf numFmtId="0" fontId="6" fillId="6" borderId="28" xfId="2" applyFont="1" applyFill="1" applyBorder="1" applyAlignment="1">
      <alignment vertical="center" shrinkToFit="1"/>
    </xf>
    <xf numFmtId="0" fontId="6" fillId="0" borderId="36" xfId="2" applyFont="1" applyBorder="1" applyAlignment="1">
      <alignment horizontal="center" vertical="center" wrapText="1"/>
    </xf>
    <xf numFmtId="0" fontId="6" fillId="0" borderId="37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6" fillId="0" borderId="40" xfId="2" applyFont="1" applyBorder="1" applyAlignment="1">
      <alignment horizontal="center" vertical="center" wrapText="1"/>
    </xf>
    <xf numFmtId="0" fontId="6" fillId="0" borderId="38" xfId="2" applyFont="1" applyBorder="1" applyAlignment="1">
      <alignment horizontal="center" vertical="center" wrapText="1"/>
    </xf>
    <xf numFmtId="0" fontId="6" fillId="0" borderId="39" xfId="2" applyFont="1" applyBorder="1" applyAlignment="1">
      <alignment horizontal="center" vertical="center" wrapText="1"/>
    </xf>
    <xf numFmtId="0" fontId="6" fillId="0" borderId="23" xfId="2" applyFont="1" applyBorder="1" applyAlignment="1">
      <alignment vertical="center" wrapText="1"/>
    </xf>
    <xf numFmtId="179" fontId="6" fillId="0" borderId="27" xfId="3" applyNumberFormat="1" applyFont="1" applyBorder="1" applyAlignment="1" applyProtection="1">
      <alignment horizontal="center" vertical="center" wrapText="1"/>
    </xf>
    <xf numFmtId="179" fontId="6" fillId="0" borderId="27" xfId="3" applyNumberFormat="1" applyFont="1" applyBorder="1" applyAlignment="1" applyProtection="1">
      <alignment vertical="center" shrinkToFit="1"/>
    </xf>
    <xf numFmtId="179" fontId="14" fillId="0" borderId="28" xfId="3" applyNumberFormat="1" applyFont="1" applyBorder="1" applyAlignment="1" applyProtection="1">
      <alignment vertical="center" shrinkToFit="1"/>
    </xf>
    <xf numFmtId="0" fontId="8" fillId="0" borderId="28" xfId="2" applyFont="1" applyBorder="1" applyAlignment="1">
      <alignment horizontal="left" vertical="center"/>
    </xf>
    <xf numFmtId="176" fontId="14" fillId="0" borderId="28" xfId="1" applyFont="1" applyBorder="1" applyAlignment="1" applyProtection="1">
      <alignment vertical="center" shrinkToFit="1"/>
    </xf>
    <xf numFmtId="0" fontId="6" fillId="0" borderId="5" xfId="2" applyFont="1" applyBorder="1" applyAlignment="1">
      <alignment horizontal="center" vertical="center"/>
    </xf>
    <xf numFmtId="0" fontId="6" fillId="0" borderId="27" xfId="2" applyFont="1" applyBorder="1" applyAlignment="1">
      <alignment horizontal="left" vertical="center"/>
    </xf>
    <xf numFmtId="179" fontId="15" fillId="4" borderId="27" xfId="3" applyNumberFormat="1" applyFont="1" applyFill="1" applyBorder="1" applyAlignment="1" applyProtection="1">
      <alignment horizontal="center" vertical="center" shrinkToFit="1"/>
    </xf>
    <xf numFmtId="0" fontId="6" fillId="0" borderId="27" xfId="2" applyFont="1" applyBorder="1" applyAlignment="1">
      <alignment horizontal="center" vertical="center" wrapText="1"/>
    </xf>
    <xf numFmtId="0" fontId="6" fillId="0" borderId="27" xfId="2" applyFont="1" applyBorder="1" applyAlignment="1">
      <alignment vertical="center" shrinkToFit="1"/>
    </xf>
    <xf numFmtId="179" fontId="4" fillId="6" borderId="27" xfId="3" applyNumberFormat="1" applyFont="1" applyFill="1" applyBorder="1" applyProtection="1">
      <alignment vertical="center"/>
    </xf>
    <xf numFmtId="0" fontId="6" fillId="0" borderId="28" xfId="2" applyFont="1" applyBorder="1" applyAlignment="1">
      <alignment vertical="center"/>
    </xf>
    <xf numFmtId="179" fontId="14" fillId="6" borderId="25" xfId="3" applyNumberFormat="1" applyFont="1" applyFill="1" applyBorder="1" applyAlignment="1" applyProtection="1">
      <alignment vertical="center" shrinkToFit="1"/>
    </xf>
    <xf numFmtId="0" fontId="11" fillId="0" borderId="28" xfId="2" applyFont="1" applyBorder="1" applyAlignment="1">
      <alignment horizontal="left" vertical="center"/>
    </xf>
    <xf numFmtId="0" fontId="6" fillId="0" borderId="27" xfId="2" applyFont="1" applyBorder="1" applyAlignment="1">
      <alignment horizontal="center" vertical="center"/>
    </xf>
    <xf numFmtId="181" fontId="14" fillId="0" borderId="28" xfId="2" applyNumberFormat="1" applyFont="1" applyBorder="1" applyAlignment="1">
      <alignment vertical="center" shrinkToFit="1"/>
    </xf>
    <xf numFmtId="0" fontId="4" fillId="0" borderId="27" xfId="2" applyFont="1" applyBorder="1" applyAlignment="1">
      <alignment horizontal="center" vertical="center"/>
    </xf>
    <xf numFmtId="0" fontId="4" fillId="0" borderId="27" xfId="2" applyFont="1" applyBorder="1" applyAlignment="1">
      <alignment vertical="center"/>
    </xf>
    <xf numFmtId="188" fontId="15" fillId="0" borderId="27" xfId="2" applyNumberFormat="1" applyFont="1" applyBorder="1" applyAlignment="1">
      <alignment horizontal="left" vertical="center" shrinkToFit="1"/>
    </xf>
  </cellXfs>
  <cellStyles count="4">
    <cellStyle name="통화 [0] 2" xfId="1" xr:uid="{00000000-0005-0000-0000-000006000000}"/>
    <cellStyle name="표준" xfId="0" builtinId="0"/>
    <cellStyle name="표준 2" xfId="2" xr:uid="{00000000-0005-0000-0000-000007000000}"/>
    <cellStyle name="Excel Built-in Comma [0] 1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E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901800</xdr:colOff>
      <xdr:row>51</xdr:row>
      <xdr:rowOff>0</xdr:rowOff>
    </xdr:from>
    <xdr:to>
      <xdr:col>9</xdr:col>
      <xdr:colOff>424080</xdr:colOff>
      <xdr:row>54</xdr:row>
      <xdr:rowOff>3240</xdr:rowOff>
    </xdr:to>
    <xdr:pic>
      <xdr:nvPicPr>
        <xdr:cNvPr id="2" name="그림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78640" y="16287840"/>
          <a:ext cx="3739320" cy="2136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909360</xdr:colOff>
      <xdr:row>49</xdr:row>
      <xdr:rowOff>720</xdr:rowOff>
    </xdr:from>
    <xdr:to>
      <xdr:col>9</xdr:col>
      <xdr:colOff>317160</xdr:colOff>
      <xdr:row>52</xdr:row>
      <xdr:rowOff>3960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86200" y="16288560"/>
          <a:ext cx="3727080" cy="2136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view="pageBreakPreview" topLeftCell="A27" zoomScale="137" zoomScaleNormal="90" zoomScalePageLayoutView="110" workbookViewId="0">
      <selection activeCell="H45" sqref="H45"/>
    </sheetView>
  </sheetViews>
  <sheetFormatPr baseColWidth="10" defaultColWidth="10.7109375" defaultRowHeight="15.75" customHeight="1"/>
  <cols>
    <col min="1" max="1" width="5.5703125" style="1" customWidth="1"/>
    <col min="2" max="4" width="14.42578125" style="1" customWidth="1"/>
    <col min="5" max="5" width="12.42578125" style="1" customWidth="1"/>
    <col min="6" max="6" width="10.28515625" style="1" customWidth="1"/>
    <col min="7" max="8" width="12.42578125" style="1" customWidth="1"/>
    <col min="9" max="9" width="5.5703125" style="1" customWidth="1"/>
    <col min="10" max="12" width="14.42578125" style="1" customWidth="1"/>
    <col min="13" max="16384" width="10.7109375" style="1"/>
  </cols>
  <sheetData>
    <row r="1" spans="1:13" ht="24" customHeight="1">
      <c r="A1" s="86" t="s">
        <v>0</v>
      </c>
      <c r="B1" s="86"/>
      <c r="C1" s="86"/>
      <c r="D1" s="86"/>
      <c r="E1" s="86"/>
      <c r="F1" s="86"/>
      <c r="G1" s="86"/>
      <c r="H1" s="86"/>
      <c r="I1" s="87" t="s">
        <v>1</v>
      </c>
      <c r="J1" s="2" t="s">
        <v>2</v>
      </c>
      <c r="K1" s="2" t="s">
        <v>3</v>
      </c>
      <c r="L1" s="3" t="s">
        <v>4</v>
      </c>
      <c r="M1" s="4"/>
    </row>
    <row r="2" spans="1:13" ht="120" customHeight="1">
      <c r="A2" s="86"/>
      <c r="B2" s="86"/>
      <c r="C2" s="86"/>
      <c r="D2" s="86"/>
      <c r="E2" s="86"/>
      <c r="F2" s="86"/>
      <c r="G2" s="86"/>
      <c r="H2" s="86"/>
      <c r="I2" s="87"/>
      <c r="J2" s="5"/>
      <c r="K2" s="5"/>
      <c r="L2" s="6"/>
      <c r="M2" s="4"/>
    </row>
    <row r="3" spans="1:13" ht="28.5" customHeight="1">
      <c r="A3" s="88" t="s">
        <v>5</v>
      </c>
      <c r="B3" s="88"/>
      <c r="C3" s="89"/>
      <c r="D3" s="89"/>
      <c r="E3" s="90" t="s">
        <v>6</v>
      </c>
      <c r="F3" s="90"/>
      <c r="G3" s="89"/>
      <c r="H3" s="89"/>
      <c r="I3" s="87"/>
      <c r="J3" s="7" t="s">
        <v>7</v>
      </c>
      <c r="K3" s="8" t="s">
        <v>7</v>
      </c>
      <c r="L3" s="9" t="s">
        <v>7</v>
      </c>
    </row>
    <row r="4" spans="1:13" ht="28.5" customHeight="1">
      <c r="A4" s="91" t="s">
        <v>8</v>
      </c>
      <c r="B4" s="91"/>
      <c r="C4" s="92"/>
      <c r="D4" s="92"/>
      <c r="E4" s="92"/>
      <c r="F4" s="92"/>
      <c r="G4" s="92"/>
      <c r="H4" s="90" t="s">
        <v>9</v>
      </c>
      <c r="I4" s="90"/>
      <c r="J4" s="93"/>
      <c r="K4" s="93"/>
      <c r="L4" s="93"/>
    </row>
    <row r="5" spans="1:13" ht="22.5" customHeight="1">
      <c r="A5" s="88" t="s">
        <v>10</v>
      </c>
      <c r="B5" s="88"/>
      <c r="C5" s="94"/>
      <c r="D5" s="94"/>
      <c r="E5" s="94"/>
      <c r="F5" s="95" t="s">
        <v>11</v>
      </c>
      <c r="G5" s="95"/>
      <c r="H5" s="96" t="s">
        <v>12</v>
      </c>
      <c r="I5" s="96"/>
      <c r="J5" s="97"/>
      <c r="K5" s="97"/>
      <c r="L5" s="97"/>
    </row>
    <row r="6" spans="1:13" ht="22.5" customHeight="1">
      <c r="A6" s="88"/>
      <c r="B6" s="88"/>
      <c r="C6" s="98"/>
      <c r="D6" s="98"/>
      <c r="E6" s="98"/>
      <c r="F6" s="10" t="s">
        <v>13</v>
      </c>
      <c r="G6" s="11"/>
      <c r="H6" s="96"/>
      <c r="I6" s="96"/>
      <c r="J6" s="97"/>
      <c r="K6" s="97"/>
      <c r="L6" s="97"/>
    </row>
    <row r="7" spans="1:13" ht="22.5" customHeight="1">
      <c r="A7" s="88"/>
      <c r="B7" s="88"/>
      <c r="C7" s="99"/>
      <c r="D7" s="99"/>
      <c r="E7" s="99"/>
      <c r="F7" s="99"/>
      <c r="G7" s="99"/>
      <c r="H7" s="96"/>
      <c r="I7" s="96"/>
      <c r="J7" s="97"/>
      <c r="K7" s="97"/>
      <c r="L7" s="97"/>
    </row>
    <row r="8" spans="1:13" ht="7.5" customHeight="1">
      <c r="A8" s="12"/>
      <c r="L8" s="13"/>
    </row>
    <row r="9" spans="1:13" ht="28.5" customHeight="1">
      <c r="A9" s="100" t="s">
        <v>14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</row>
    <row r="10" spans="1:13" ht="18" customHeight="1">
      <c r="A10" s="101" t="s">
        <v>15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</row>
    <row r="11" spans="1:13" ht="18" customHeight="1">
      <c r="A11" s="102" t="s">
        <v>16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</row>
    <row r="12" spans="1:13" ht="28.5" customHeight="1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</row>
    <row r="13" spans="1:13" ht="28.5" customHeight="1">
      <c r="A13" s="103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</row>
    <row r="14" spans="1:13" ht="28.5" customHeight="1">
      <c r="A14" s="103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</row>
    <row r="15" spans="1:13" ht="7.5" customHeight="1">
      <c r="A15" s="12"/>
      <c r="L15" s="13"/>
    </row>
    <row r="16" spans="1:13" ht="25.5" customHeight="1">
      <c r="A16" s="104" t="s">
        <v>17</v>
      </c>
      <c r="B16" s="104"/>
      <c r="C16" s="105" t="s">
        <v>18</v>
      </c>
      <c r="D16" s="105"/>
      <c r="E16" s="105"/>
      <c r="F16" s="105"/>
      <c r="G16" s="105"/>
      <c r="H16" s="106" t="s">
        <v>19</v>
      </c>
      <c r="I16" s="106"/>
      <c r="J16" s="106"/>
      <c r="K16" s="106"/>
      <c r="L16" s="106"/>
    </row>
    <row r="17" spans="1:12" ht="25.5" customHeight="1">
      <c r="A17" s="104"/>
      <c r="B17" s="104"/>
      <c r="C17" s="107" t="s">
        <v>20</v>
      </c>
      <c r="D17" s="107"/>
      <c r="E17" s="16" t="s">
        <v>21</v>
      </c>
      <c r="F17" s="16" t="s">
        <v>22</v>
      </c>
      <c r="G17" s="15" t="s">
        <v>23</v>
      </c>
      <c r="H17" s="14" t="s">
        <v>23</v>
      </c>
      <c r="I17" s="108" t="s">
        <v>24</v>
      </c>
      <c r="J17" s="108"/>
      <c r="K17" s="108"/>
      <c r="L17" s="108"/>
    </row>
    <row r="18" spans="1:12" ht="25.5" customHeight="1">
      <c r="A18" s="109" t="s">
        <v>25</v>
      </c>
      <c r="B18" s="109"/>
      <c r="C18" s="110" t="s">
        <v>26</v>
      </c>
      <c r="D18" s="110"/>
      <c r="E18" s="18" t="s">
        <v>27</v>
      </c>
      <c r="F18" s="19"/>
      <c r="G18" s="20"/>
      <c r="H18" s="21"/>
      <c r="I18" s="84"/>
      <c r="J18" s="85"/>
      <c r="K18" s="85"/>
      <c r="L18" s="85"/>
    </row>
    <row r="19" spans="1:12" ht="25.5" customHeight="1">
      <c r="A19" s="109"/>
      <c r="B19" s="109"/>
      <c r="C19" s="110" t="s">
        <v>28</v>
      </c>
      <c r="D19" s="110"/>
      <c r="E19" s="18" t="s">
        <v>27</v>
      </c>
      <c r="F19" s="19"/>
      <c r="G19" s="20"/>
      <c r="H19" s="21"/>
      <c r="I19" s="84"/>
      <c r="J19" s="85"/>
      <c r="K19" s="85"/>
      <c r="L19" s="85"/>
    </row>
    <row r="20" spans="1:12" ht="25.5" customHeight="1">
      <c r="A20" s="109"/>
      <c r="B20" s="109"/>
      <c r="C20" s="110" t="s">
        <v>29</v>
      </c>
      <c r="D20" s="110"/>
      <c r="E20" s="18" t="s">
        <v>27</v>
      </c>
      <c r="F20" s="19"/>
      <c r="G20" s="20"/>
      <c r="H20" s="21"/>
      <c r="I20" s="84"/>
      <c r="J20" s="85"/>
      <c r="K20" s="85"/>
      <c r="L20" s="85"/>
    </row>
    <row r="21" spans="1:12" ht="25.5" customHeight="1">
      <c r="A21" s="109"/>
      <c r="B21" s="109"/>
      <c r="C21" s="111" t="s">
        <v>30</v>
      </c>
      <c r="D21" s="111"/>
      <c r="E21" s="22"/>
      <c r="F21" s="23"/>
      <c r="G21" s="24"/>
      <c r="H21" s="25">
        <f>SUM(H18:H20)</f>
        <v>0</v>
      </c>
      <c r="I21" s="112"/>
      <c r="J21" s="112"/>
      <c r="K21" s="112"/>
      <c r="L21" s="112"/>
    </row>
    <row r="22" spans="1:12" ht="25.5" customHeight="1">
      <c r="A22" s="113" t="s">
        <v>31</v>
      </c>
      <c r="B22" s="113"/>
      <c r="C22" s="114" t="s">
        <v>32</v>
      </c>
      <c r="D22" s="114"/>
      <c r="E22" s="18" t="s">
        <v>27</v>
      </c>
      <c r="F22" s="26"/>
      <c r="G22" s="27"/>
      <c r="H22" s="21"/>
      <c r="I22" s="84"/>
      <c r="J22" s="85"/>
      <c r="K22" s="85"/>
      <c r="L22" s="85"/>
    </row>
    <row r="23" spans="1:12" ht="25.5" customHeight="1">
      <c r="A23" s="113"/>
      <c r="B23" s="113"/>
      <c r="C23" s="114" t="s">
        <v>33</v>
      </c>
      <c r="D23" s="114"/>
      <c r="E23" s="18" t="s">
        <v>27</v>
      </c>
      <c r="F23" s="26"/>
      <c r="G23" s="27"/>
      <c r="H23" s="28"/>
      <c r="I23" s="84"/>
      <c r="J23" s="85"/>
      <c r="K23" s="85"/>
      <c r="L23" s="85"/>
    </row>
    <row r="24" spans="1:12" ht="25.5" customHeight="1">
      <c r="A24" s="113"/>
      <c r="B24" s="113"/>
      <c r="C24" s="114" t="s">
        <v>34</v>
      </c>
      <c r="D24" s="114"/>
      <c r="E24" s="18" t="s">
        <v>27</v>
      </c>
      <c r="F24" s="26"/>
      <c r="G24" s="27"/>
      <c r="H24" s="28"/>
      <c r="I24" s="84"/>
      <c r="J24" s="85"/>
      <c r="K24" s="85"/>
      <c r="L24" s="85"/>
    </row>
    <row r="25" spans="1:12" ht="25.5" customHeight="1">
      <c r="A25" s="113"/>
      <c r="B25" s="113"/>
      <c r="C25" s="111" t="s">
        <v>30</v>
      </c>
      <c r="D25" s="111"/>
      <c r="E25" s="22"/>
      <c r="F25" s="23"/>
      <c r="G25" s="24"/>
      <c r="H25" s="25">
        <f>SUM(H22:H24)</f>
        <v>0</v>
      </c>
      <c r="I25" s="112"/>
      <c r="J25" s="112"/>
      <c r="K25" s="112"/>
      <c r="L25" s="112"/>
    </row>
    <row r="26" spans="1:12" ht="25.5" customHeight="1">
      <c r="A26" s="109" t="s">
        <v>35</v>
      </c>
      <c r="B26" s="109"/>
      <c r="C26" s="110" t="s">
        <v>36</v>
      </c>
      <c r="D26" s="110"/>
      <c r="E26" s="17">
        <v>70000</v>
      </c>
      <c r="F26" s="26">
        <v>0</v>
      </c>
      <c r="G26" s="20">
        <f>E26*F26</f>
        <v>0</v>
      </c>
      <c r="H26" s="21"/>
      <c r="I26" s="84"/>
      <c r="J26" s="85"/>
      <c r="K26" s="85"/>
      <c r="L26" s="85"/>
    </row>
    <row r="27" spans="1:12" ht="25.5" customHeight="1">
      <c r="A27" s="109"/>
      <c r="B27" s="109"/>
      <c r="C27" s="110" t="s">
        <v>37</v>
      </c>
      <c r="D27" s="110"/>
      <c r="E27" s="17">
        <v>60000</v>
      </c>
      <c r="F27" s="26">
        <v>0</v>
      </c>
      <c r="G27" s="20">
        <f>E27*F27</f>
        <v>0</v>
      </c>
      <c r="H27" s="21"/>
      <c r="I27" s="84"/>
      <c r="J27" s="85"/>
      <c r="K27" s="85"/>
      <c r="L27" s="85"/>
    </row>
    <row r="28" spans="1:12" ht="25.5" customHeight="1">
      <c r="A28" s="109"/>
      <c r="B28" s="109"/>
      <c r="C28" s="110" t="s">
        <v>38</v>
      </c>
      <c r="D28" s="110"/>
      <c r="E28" s="17">
        <v>50000</v>
      </c>
      <c r="F28" s="26">
        <v>0</v>
      </c>
      <c r="G28" s="20">
        <f>E28*F28</f>
        <v>0</v>
      </c>
      <c r="H28" s="21"/>
      <c r="I28" s="84"/>
      <c r="J28" s="85"/>
      <c r="K28" s="85"/>
      <c r="L28" s="85"/>
    </row>
    <row r="29" spans="1:12" ht="25.5" customHeight="1">
      <c r="A29" s="109"/>
      <c r="B29" s="109"/>
      <c r="C29" s="111" t="s">
        <v>30</v>
      </c>
      <c r="D29" s="111"/>
      <c r="E29" s="22"/>
      <c r="F29" s="23"/>
      <c r="G29" s="24">
        <f>SUM(G26:G28)</f>
        <v>0</v>
      </c>
      <c r="H29" s="25">
        <f>SUM(H26:H28)</f>
        <v>0</v>
      </c>
      <c r="I29" s="112"/>
      <c r="J29" s="112"/>
      <c r="K29" s="112"/>
      <c r="L29" s="112"/>
    </row>
    <row r="30" spans="1:12" ht="25.5" customHeight="1">
      <c r="A30" s="109"/>
      <c r="B30" s="109"/>
      <c r="C30" s="115" t="s">
        <v>39</v>
      </c>
      <c r="D30" s="115"/>
      <c r="E30" s="29"/>
      <c r="F30" s="30"/>
      <c r="G30" s="31"/>
      <c r="H30" s="32">
        <f>G29-H29</f>
        <v>0</v>
      </c>
      <c r="I30" s="116" t="s">
        <v>40</v>
      </c>
      <c r="J30" s="116"/>
      <c r="K30" s="116"/>
      <c r="L30" s="116"/>
    </row>
    <row r="31" spans="1:12" ht="25.5" customHeight="1">
      <c r="A31" s="109"/>
      <c r="B31" s="109"/>
      <c r="C31" s="117" t="s">
        <v>41</v>
      </c>
      <c r="D31" s="117"/>
      <c r="E31" s="117"/>
      <c r="F31" s="117"/>
      <c r="G31" s="117"/>
      <c r="H31" s="33"/>
      <c r="I31" s="118"/>
      <c r="J31" s="118"/>
      <c r="K31" s="118"/>
      <c r="L31" s="118"/>
    </row>
    <row r="32" spans="1:12" ht="25.5" customHeight="1">
      <c r="A32" s="109"/>
      <c r="B32" s="109"/>
      <c r="C32" s="117" t="s">
        <v>42</v>
      </c>
      <c r="D32" s="117"/>
      <c r="E32" s="117"/>
      <c r="F32" s="117"/>
      <c r="G32" s="117"/>
      <c r="H32" s="33"/>
      <c r="I32" s="118"/>
      <c r="J32" s="118"/>
      <c r="K32" s="118"/>
      <c r="L32" s="118"/>
    </row>
    <row r="33" spans="1:12" ht="25.5" customHeight="1">
      <c r="A33" s="119" t="s">
        <v>90</v>
      </c>
      <c r="B33" s="119"/>
      <c r="C33" s="114" t="s">
        <v>92</v>
      </c>
      <c r="D33" s="114"/>
      <c r="E33" s="17">
        <v>35000</v>
      </c>
      <c r="F33" s="26"/>
      <c r="G33" s="34"/>
      <c r="H33" s="21"/>
      <c r="I33" s="84"/>
      <c r="J33" s="85"/>
      <c r="K33" s="85"/>
      <c r="L33" s="85"/>
    </row>
    <row r="34" spans="1:12" ht="25.5" customHeight="1">
      <c r="A34" s="119"/>
      <c r="B34" s="119"/>
      <c r="C34" s="120" t="s">
        <v>30</v>
      </c>
      <c r="D34" s="120"/>
      <c r="E34" s="35"/>
      <c r="F34" s="36"/>
      <c r="G34" s="36"/>
      <c r="H34" s="82">
        <f>SUM(H33:H33)</f>
        <v>0</v>
      </c>
      <c r="I34" s="121"/>
      <c r="J34" s="121"/>
      <c r="K34" s="121"/>
      <c r="L34" s="121"/>
    </row>
    <row r="35" spans="1:12" ht="25.5" customHeight="1">
      <c r="A35" s="119"/>
      <c r="B35" s="119"/>
      <c r="C35" s="122" t="s">
        <v>44</v>
      </c>
      <c r="D35" s="122"/>
      <c r="E35" s="122"/>
      <c r="F35" s="122"/>
      <c r="G35" s="122"/>
      <c r="H35" s="21"/>
      <c r="I35" s="123"/>
      <c r="J35" s="123"/>
      <c r="K35" s="123"/>
      <c r="L35" s="123"/>
    </row>
    <row r="36" spans="1:12" ht="25.5" customHeight="1">
      <c r="A36" s="119"/>
      <c r="B36" s="119"/>
      <c r="C36" s="124" t="s">
        <v>45</v>
      </c>
      <c r="D36" s="124"/>
      <c r="E36" s="124"/>
      <c r="F36" s="124"/>
      <c r="G36" s="124"/>
      <c r="H36" s="37" t="s">
        <v>46</v>
      </c>
      <c r="I36" s="125"/>
      <c r="J36" s="125"/>
      <c r="K36" s="125"/>
      <c r="L36" s="125"/>
    </row>
    <row r="37" spans="1:12" ht="25.5" customHeight="1">
      <c r="A37" s="136" t="s">
        <v>91</v>
      </c>
      <c r="B37" s="137"/>
      <c r="C37" s="114" t="s">
        <v>93</v>
      </c>
      <c r="D37" s="114"/>
      <c r="E37" s="17" t="s">
        <v>95</v>
      </c>
      <c r="F37" s="26">
        <v>0</v>
      </c>
      <c r="G37" s="81"/>
      <c r="H37" s="37"/>
      <c r="I37" s="84"/>
      <c r="J37" s="85"/>
      <c r="K37" s="85"/>
      <c r="L37" s="85"/>
    </row>
    <row r="38" spans="1:12" ht="25.5" customHeight="1">
      <c r="A38" s="138"/>
      <c r="B38" s="139"/>
      <c r="C38" s="114" t="s">
        <v>94</v>
      </c>
      <c r="D38" s="114"/>
      <c r="E38" s="17" t="s">
        <v>95</v>
      </c>
      <c r="F38" s="26">
        <v>0</v>
      </c>
      <c r="G38" s="81"/>
      <c r="H38" s="37"/>
      <c r="I38" s="84"/>
      <c r="J38" s="85"/>
      <c r="K38" s="85"/>
      <c r="L38" s="85"/>
    </row>
    <row r="39" spans="1:12" ht="25.5" customHeight="1">
      <c r="A39" s="140"/>
      <c r="B39" s="141"/>
      <c r="C39" s="120" t="s">
        <v>30</v>
      </c>
      <c r="D39" s="120"/>
      <c r="E39" s="35"/>
      <c r="F39" s="83">
        <v>0</v>
      </c>
      <c r="G39" s="36"/>
      <c r="H39" s="82" t="s">
        <v>95</v>
      </c>
      <c r="I39" s="121"/>
      <c r="J39" s="121"/>
      <c r="K39" s="121"/>
      <c r="L39" s="121"/>
    </row>
    <row r="40" spans="1:12" ht="25.5" customHeight="1">
      <c r="A40" s="113" t="s">
        <v>89</v>
      </c>
      <c r="B40" s="113"/>
      <c r="C40" s="114" t="s">
        <v>48</v>
      </c>
      <c r="D40" s="114"/>
      <c r="E40" s="17" t="s">
        <v>27</v>
      </c>
      <c r="F40" s="26"/>
      <c r="G40" s="27"/>
      <c r="H40" s="21"/>
      <c r="I40" s="84"/>
      <c r="J40" s="85"/>
      <c r="K40" s="85"/>
      <c r="L40" s="85"/>
    </row>
    <row r="41" spans="1:12" ht="25.5" customHeight="1">
      <c r="A41" s="113"/>
      <c r="B41" s="113"/>
      <c r="C41" s="114" t="s">
        <v>49</v>
      </c>
      <c r="D41" s="114"/>
      <c r="E41" s="17" t="s">
        <v>27</v>
      </c>
      <c r="F41" s="26"/>
      <c r="G41" s="27"/>
      <c r="H41" s="21"/>
      <c r="I41" s="84"/>
      <c r="J41" s="85"/>
      <c r="K41" s="85"/>
      <c r="L41" s="85"/>
    </row>
    <row r="42" spans="1:12" ht="25.5" customHeight="1">
      <c r="A42" s="113"/>
      <c r="B42" s="113"/>
      <c r="C42" s="126" t="s">
        <v>50</v>
      </c>
      <c r="D42" s="126"/>
      <c r="E42" s="38" t="s">
        <v>51</v>
      </c>
      <c r="F42" s="39" t="s">
        <v>52</v>
      </c>
      <c r="G42" s="40" t="s">
        <v>53</v>
      </c>
      <c r="H42" s="21"/>
      <c r="I42" s="123"/>
      <c r="J42" s="123"/>
      <c r="K42" s="123"/>
      <c r="L42" s="123"/>
    </row>
    <row r="43" spans="1:12" ht="25.5" customHeight="1">
      <c r="A43" s="113"/>
      <c r="B43" s="113"/>
      <c r="C43" s="126"/>
      <c r="D43" s="126"/>
      <c r="E43" s="17"/>
      <c r="F43" s="26"/>
      <c r="G43" s="27"/>
      <c r="H43" s="21"/>
      <c r="I43" s="84"/>
      <c r="J43" s="85"/>
      <c r="K43" s="85"/>
      <c r="L43" s="85"/>
    </row>
    <row r="44" spans="1:12" ht="25.5" customHeight="1">
      <c r="A44" s="113"/>
      <c r="B44" s="113"/>
      <c r="C44" s="122" t="s">
        <v>54</v>
      </c>
      <c r="D44" s="122"/>
      <c r="E44" s="122"/>
      <c r="F44" s="122"/>
      <c r="G44" s="122"/>
      <c r="H44" s="41"/>
      <c r="I44" s="127"/>
      <c r="J44" s="127"/>
      <c r="K44" s="127"/>
      <c r="L44" s="127"/>
    </row>
    <row r="45" spans="1:12" ht="25.5" customHeight="1">
      <c r="A45" s="113"/>
      <c r="B45" s="113"/>
      <c r="C45" s="124" t="s">
        <v>55</v>
      </c>
      <c r="D45" s="124"/>
      <c r="E45" s="124"/>
      <c r="F45" s="124"/>
      <c r="G45" s="124"/>
      <c r="H45" s="37"/>
      <c r="I45" s="125"/>
      <c r="J45" s="125"/>
      <c r="K45" s="125"/>
      <c r="L45" s="125"/>
    </row>
    <row r="46" spans="1:12" ht="25.5" customHeight="1">
      <c r="A46" s="113"/>
      <c r="B46" s="113"/>
      <c r="C46" s="122" t="s">
        <v>56</v>
      </c>
      <c r="D46" s="122"/>
      <c r="E46" s="122"/>
      <c r="F46" s="122"/>
      <c r="G46" s="122"/>
      <c r="H46" s="41"/>
      <c r="I46" s="127"/>
      <c r="J46" s="127"/>
      <c r="K46" s="127"/>
      <c r="L46" s="127"/>
    </row>
    <row r="47" spans="1:12" ht="25.5" customHeight="1">
      <c r="A47" s="113"/>
      <c r="B47" s="113"/>
      <c r="C47" s="111" t="s">
        <v>30</v>
      </c>
      <c r="D47" s="111"/>
      <c r="E47" s="22"/>
      <c r="F47" s="23"/>
      <c r="G47" s="24"/>
      <c r="H47" s="25">
        <f>SUM(H40:H46)</f>
        <v>0</v>
      </c>
      <c r="I47" s="112"/>
      <c r="J47" s="112"/>
      <c r="K47" s="112"/>
      <c r="L47" s="112"/>
    </row>
    <row r="48" spans="1:12" ht="25.5" customHeight="1">
      <c r="A48" s="129" t="s">
        <v>57</v>
      </c>
      <c r="B48" s="129"/>
      <c r="C48" s="130" t="s">
        <v>58</v>
      </c>
      <c r="D48" s="130"/>
      <c r="E48" s="130"/>
      <c r="F48" s="130"/>
      <c r="G48" s="130"/>
      <c r="H48" s="43">
        <f>H21+H25+G29+G34+H47</f>
        <v>0</v>
      </c>
      <c r="I48" s="131"/>
      <c r="J48" s="131"/>
      <c r="K48" s="131"/>
      <c r="L48" s="131"/>
    </row>
    <row r="49" spans="1:12" ht="25.5" customHeight="1">
      <c r="A49" s="129"/>
      <c r="B49" s="129"/>
      <c r="C49" s="132" t="s">
        <v>59</v>
      </c>
      <c r="D49" s="132"/>
      <c r="E49" s="132"/>
      <c r="F49" s="132"/>
      <c r="G49" s="132"/>
      <c r="H49" s="44">
        <f>H30</f>
        <v>0</v>
      </c>
      <c r="I49" s="133" t="s">
        <v>39</v>
      </c>
      <c r="J49" s="133"/>
      <c r="K49" s="133"/>
      <c r="L49" s="133"/>
    </row>
    <row r="50" spans="1:12" ht="25.5" customHeight="1">
      <c r="A50" s="129"/>
      <c r="B50" s="129"/>
      <c r="C50" s="134" t="s">
        <v>60</v>
      </c>
      <c r="D50" s="134"/>
      <c r="E50" s="134"/>
      <c r="F50" s="134"/>
      <c r="G50" s="134"/>
      <c r="H50" s="45">
        <f>G34+H43</f>
        <v>0</v>
      </c>
      <c r="I50" s="135" t="s">
        <v>61</v>
      </c>
      <c r="J50" s="135"/>
      <c r="K50" s="135"/>
      <c r="L50" s="135"/>
    </row>
    <row r="51" spans="1:12" ht="7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ht="24" customHeight="1">
      <c r="A52" s="87" t="s">
        <v>62</v>
      </c>
      <c r="B52" s="2" t="s">
        <v>2</v>
      </c>
      <c r="C52" s="2" t="s">
        <v>3</v>
      </c>
      <c r="D52" s="3" t="s">
        <v>4</v>
      </c>
      <c r="E52" s="11"/>
      <c r="F52" s="11"/>
      <c r="G52" s="11"/>
      <c r="H52" s="11"/>
      <c r="I52" s="11"/>
      <c r="J52" s="11"/>
      <c r="K52" s="46" t="s">
        <v>3</v>
      </c>
      <c r="L52" s="3" t="s">
        <v>4</v>
      </c>
    </row>
    <row r="53" spans="1:12" ht="120" customHeight="1">
      <c r="A53" s="87"/>
      <c r="B53" s="5"/>
      <c r="C53" s="5"/>
      <c r="D53" s="6"/>
      <c r="E53" s="11"/>
      <c r="F53" s="11"/>
      <c r="G53" s="11"/>
      <c r="H53" s="11"/>
      <c r="I53" s="11"/>
      <c r="J53" s="11"/>
      <c r="K53" s="47"/>
      <c r="L53" s="6"/>
    </row>
    <row r="54" spans="1:12" ht="24" customHeight="1">
      <c r="A54" s="87"/>
      <c r="B54" s="7" t="s">
        <v>7</v>
      </c>
      <c r="C54" s="8" t="s">
        <v>7</v>
      </c>
      <c r="D54" s="9" t="s">
        <v>7</v>
      </c>
      <c r="E54" s="11"/>
      <c r="F54" s="11"/>
      <c r="G54" s="11"/>
      <c r="H54" s="11"/>
      <c r="I54" s="11"/>
      <c r="J54" s="11"/>
      <c r="K54" s="48" t="s">
        <v>7</v>
      </c>
      <c r="L54" s="9" t="s">
        <v>7</v>
      </c>
    </row>
    <row r="55" spans="1:12" ht="16">
      <c r="A55" s="128" t="s">
        <v>63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</row>
  </sheetData>
  <mergeCells count="100">
    <mergeCell ref="C38:D38"/>
    <mergeCell ref="C37:D37"/>
    <mergeCell ref="I37:L37"/>
    <mergeCell ref="I38:L38"/>
    <mergeCell ref="A37:B39"/>
    <mergeCell ref="C39:D39"/>
    <mergeCell ref="I39:L39"/>
    <mergeCell ref="A52:A54"/>
    <mergeCell ref="A55:L55"/>
    <mergeCell ref="A48:B50"/>
    <mergeCell ref="C48:G48"/>
    <mergeCell ref="I48:L48"/>
    <mergeCell ref="C49:G49"/>
    <mergeCell ref="I49:L49"/>
    <mergeCell ref="C50:G50"/>
    <mergeCell ref="I50:L50"/>
    <mergeCell ref="A40:B47"/>
    <mergeCell ref="C40:D40"/>
    <mergeCell ref="C41:D41"/>
    <mergeCell ref="C42:D43"/>
    <mergeCell ref="I42:L42"/>
    <mergeCell ref="I43:L43"/>
    <mergeCell ref="C44:G44"/>
    <mergeCell ref="I44:L44"/>
    <mergeCell ref="C45:G45"/>
    <mergeCell ref="I45:L45"/>
    <mergeCell ref="C46:G46"/>
    <mergeCell ref="I46:L46"/>
    <mergeCell ref="C47:D47"/>
    <mergeCell ref="I47:L47"/>
    <mergeCell ref="A33:B36"/>
    <mergeCell ref="C33:D33"/>
    <mergeCell ref="I33:L33"/>
    <mergeCell ref="C34:D34"/>
    <mergeCell ref="I34:L34"/>
    <mergeCell ref="C35:G35"/>
    <mergeCell ref="I35:L35"/>
    <mergeCell ref="C36:G36"/>
    <mergeCell ref="I36:L36"/>
    <mergeCell ref="A26:B32"/>
    <mergeCell ref="C26:D26"/>
    <mergeCell ref="I26:L26"/>
    <mergeCell ref="C27:D27"/>
    <mergeCell ref="I27:L27"/>
    <mergeCell ref="C28:D28"/>
    <mergeCell ref="I28:L28"/>
    <mergeCell ref="C29:D29"/>
    <mergeCell ref="I29:L29"/>
    <mergeCell ref="C30:D30"/>
    <mergeCell ref="I30:L30"/>
    <mergeCell ref="C31:G31"/>
    <mergeCell ref="I31:L31"/>
    <mergeCell ref="C32:G32"/>
    <mergeCell ref="I32:L32"/>
    <mergeCell ref="A22:B25"/>
    <mergeCell ref="C22:D22"/>
    <mergeCell ref="I22:L22"/>
    <mergeCell ref="C23:D23"/>
    <mergeCell ref="I23:L23"/>
    <mergeCell ref="C24:D24"/>
    <mergeCell ref="I24:L24"/>
    <mergeCell ref="C25:D25"/>
    <mergeCell ref="I25:L25"/>
    <mergeCell ref="A18:B21"/>
    <mergeCell ref="C18:D18"/>
    <mergeCell ref="I18:L18"/>
    <mergeCell ref="C19:D19"/>
    <mergeCell ref="I19:L19"/>
    <mergeCell ref="C20:D20"/>
    <mergeCell ref="I20:L20"/>
    <mergeCell ref="C21:D21"/>
    <mergeCell ref="I21:L21"/>
    <mergeCell ref="A11:L11"/>
    <mergeCell ref="A12:L14"/>
    <mergeCell ref="A16:B17"/>
    <mergeCell ref="C16:G16"/>
    <mergeCell ref="H16:L16"/>
    <mergeCell ref="C17:D17"/>
    <mergeCell ref="I17:L17"/>
    <mergeCell ref="J5:L7"/>
    <mergeCell ref="C6:E6"/>
    <mergeCell ref="C7:G7"/>
    <mergeCell ref="A9:L9"/>
    <mergeCell ref="A10:L10"/>
    <mergeCell ref="I40:L40"/>
    <mergeCell ref="I41:L41"/>
    <mergeCell ref="A1:H2"/>
    <mergeCell ref="I1:I3"/>
    <mergeCell ref="A3:B3"/>
    <mergeCell ref="C3:D3"/>
    <mergeCell ref="E3:F3"/>
    <mergeCell ref="G3:H3"/>
    <mergeCell ref="A4:B4"/>
    <mergeCell ref="C4:G4"/>
    <mergeCell ref="H4:I4"/>
    <mergeCell ref="J4:L4"/>
    <mergeCell ref="A5:B7"/>
    <mergeCell ref="C5:E5"/>
    <mergeCell ref="F5:G5"/>
    <mergeCell ref="H5:I7"/>
  </mergeCells>
  <phoneticPr fontId="17" type="noConversion"/>
  <printOptions horizontalCentered="1" verticalCentered="1"/>
  <pageMargins left="0" right="0" top="0" bottom="0" header="0" footer="0"/>
  <pageSetup paperSize="9" scale="56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3"/>
  <sheetViews>
    <sheetView view="pageBreakPreview" topLeftCell="A12" zoomScaleNormal="90" zoomScalePageLayoutView="75" workbookViewId="0">
      <selection activeCell="E19" sqref="E19"/>
    </sheetView>
  </sheetViews>
  <sheetFormatPr baseColWidth="10" defaultColWidth="10.7109375" defaultRowHeight="18" customHeight="1"/>
  <cols>
    <col min="1" max="1" width="5.5703125" style="1" customWidth="1"/>
    <col min="2" max="4" width="14.42578125" style="1" customWidth="1"/>
    <col min="5" max="5" width="12.42578125" style="1" customWidth="1"/>
    <col min="6" max="6" width="10.28515625" style="1" customWidth="1"/>
    <col min="7" max="7" width="12.42578125" style="1" customWidth="1"/>
    <col min="8" max="8" width="13.7109375" style="1" customWidth="1"/>
    <col min="9" max="9" width="5.5703125" style="1" customWidth="1"/>
    <col min="10" max="12" width="14.42578125" style="1" customWidth="1"/>
    <col min="13" max="16384" width="10.7109375" style="1"/>
  </cols>
  <sheetData>
    <row r="1" spans="1:13" ht="24" customHeight="1">
      <c r="A1" s="86" t="s">
        <v>64</v>
      </c>
      <c r="B1" s="86"/>
      <c r="C1" s="86"/>
      <c r="D1" s="86"/>
      <c r="E1" s="86"/>
      <c r="F1" s="86"/>
      <c r="G1" s="86"/>
      <c r="H1" s="86"/>
      <c r="I1" s="87" t="s">
        <v>1</v>
      </c>
      <c r="J1" s="2" t="s">
        <v>2</v>
      </c>
      <c r="K1" s="2" t="s">
        <v>3</v>
      </c>
      <c r="L1" s="3" t="s">
        <v>4</v>
      </c>
      <c r="M1" s="4"/>
    </row>
    <row r="2" spans="1:13" ht="120" customHeight="1">
      <c r="A2" s="86"/>
      <c r="B2" s="86"/>
      <c r="C2" s="86"/>
      <c r="D2" s="86"/>
      <c r="E2" s="86"/>
      <c r="F2" s="86"/>
      <c r="G2" s="86"/>
      <c r="H2" s="86"/>
      <c r="I2" s="87"/>
      <c r="J2" s="5"/>
      <c r="K2" s="5"/>
      <c r="L2" s="6"/>
      <c r="M2" s="4"/>
    </row>
    <row r="3" spans="1:13" ht="28.5" customHeight="1">
      <c r="A3" s="88" t="s">
        <v>5</v>
      </c>
      <c r="B3" s="88"/>
      <c r="C3" s="89"/>
      <c r="D3" s="89"/>
      <c r="E3" s="90" t="s">
        <v>6</v>
      </c>
      <c r="F3" s="90"/>
      <c r="G3" s="89"/>
      <c r="H3" s="89"/>
      <c r="I3" s="87"/>
      <c r="J3" s="7" t="s">
        <v>7</v>
      </c>
      <c r="K3" s="8" t="s">
        <v>7</v>
      </c>
      <c r="L3" s="9" t="s">
        <v>7</v>
      </c>
    </row>
    <row r="4" spans="1:13" ht="28.5" customHeight="1">
      <c r="A4" s="91" t="s">
        <v>8</v>
      </c>
      <c r="B4" s="91"/>
      <c r="C4" s="92"/>
      <c r="D4" s="92"/>
      <c r="E4" s="92"/>
      <c r="F4" s="92"/>
      <c r="G4" s="92"/>
      <c r="H4" s="90" t="s">
        <v>9</v>
      </c>
      <c r="I4" s="90"/>
      <c r="J4" s="93"/>
      <c r="K4" s="93"/>
      <c r="L4" s="93"/>
    </row>
    <row r="5" spans="1:13" ht="22.5" customHeight="1">
      <c r="A5" s="88" t="s">
        <v>10</v>
      </c>
      <c r="B5" s="88"/>
      <c r="C5" s="94"/>
      <c r="D5" s="94"/>
      <c r="E5" s="94"/>
      <c r="F5" s="95" t="s">
        <v>11</v>
      </c>
      <c r="G5" s="95"/>
      <c r="H5" s="96" t="s">
        <v>12</v>
      </c>
      <c r="I5" s="96"/>
      <c r="J5" s="97"/>
      <c r="K5" s="97"/>
      <c r="L5" s="97"/>
    </row>
    <row r="6" spans="1:13" ht="22.5" customHeight="1">
      <c r="A6" s="88"/>
      <c r="B6" s="88"/>
      <c r="C6" s="98"/>
      <c r="D6" s="98"/>
      <c r="E6" s="98"/>
      <c r="F6" s="10" t="s">
        <v>13</v>
      </c>
      <c r="G6" s="11"/>
      <c r="H6" s="96"/>
      <c r="I6" s="96"/>
      <c r="J6" s="97"/>
      <c r="K6" s="97"/>
      <c r="L6" s="97"/>
    </row>
    <row r="7" spans="1:13" ht="22.5" customHeight="1">
      <c r="A7" s="88"/>
      <c r="B7" s="88"/>
      <c r="C7" s="99"/>
      <c r="D7" s="99"/>
      <c r="E7" s="99"/>
      <c r="F7" s="99"/>
      <c r="G7" s="99"/>
      <c r="H7" s="96"/>
      <c r="I7" s="96"/>
      <c r="J7" s="97"/>
      <c r="K7" s="97"/>
      <c r="L7" s="97"/>
    </row>
    <row r="8" spans="1:13" ht="7.5" customHeight="1">
      <c r="A8" s="12"/>
      <c r="L8" s="13"/>
    </row>
    <row r="9" spans="1:13" ht="28.5" customHeight="1">
      <c r="A9" s="100" t="s">
        <v>14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</row>
    <row r="10" spans="1:13" ht="18" customHeight="1">
      <c r="A10" s="101" t="s">
        <v>15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</row>
    <row r="11" spans="1:13" ht="18" customHeight="1">
      <c r="A11" s="102" t="s">
        <v>16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</row>
    <row r="12" spans="1:13" ht="28.5" customHeight="1">
      <c r="A12" s="142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</row>
    <row r="13" spans="1:13" ht="28.5" customHeight="1">
      <c r="A13" s="142"/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</row>
    <row r="14" spans="1:13" ht="28.5" customHeight="1">
      <c r="A14" s="142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</row>
    <row r="15" spans="1:13" ht="7.5" customHeight="1">
      <c r="A15" s="12"/>
      <c r="L15" s="13"/>
    </row>
    <row r="16" spans="1:13" ht="25.5" customHeight="1">
      <c r="A16" s="107" t="s">
        <v>17</v>
      </c>
      <c r="B16" s="107"/>
      <c r="C16" s="105" t="s">
        <v>18</v>
      </c>
      <c r="D16" s="105"/>
      <c r="E16" s="105"/>
      <c r="F16" s="105"/>
      <c r="G16" s="105"/>
      <c r="H16" s="106" t="s">
        <v>19</v>
      </c>
      <c r="I16" s="106"/>
      <c r="J16" s="106"/>
      <c r="K16" s="106"/>
      <c r="L16" s="106"/>
    </row>
    <row r="17" spans="1:12" ht="25.5" customHeight="1">
      <c r="A17" s="107"/>
      <c r="B17" s="107"/>
      <c r="C17" s="107" t="s">
        <v>20</v>
      </c>
      <c r="D17" s="107"/>
      <c r="E17" s="16" t="s">
        <v>21</v>
      </c>
      <c r="F17" s="16" t="s">
        <v>22</v>
      </c>
      <c r="G17" s="15" t="s">
        <v>65</v>
      </c>
      <c r="H17" s="49" t="s">
        <v>65</v>
      </c>
      <c r="I17" s="108" t="s">
        <v>24</v>
      </c>
      <c r="J17" s="108"/>
      <c r="K17" s="108"/>
      <c r="L17" s="108"/>
    </row>
    <row r="18" spans="1:12" ht="25.5" customHeight="1">
      <c r="A18" s="143" t="s">
        <v>25</v>
      </c>
      <c r="B18" s="143"/>
      <c r="C18" s="144" t="s">
        <v>26</v>
      </c>
      <c r="D18" s="144"/>
      <c r="E18" s="17" t="s">
        <v>27</v>
      </c>
      <c r="F18" s="19"/>
      <c r="G18" s="20"/>
      <c r="H18" s="50"/>
      <c r="I18" s="145"/>
      <c r="J18" s="145"/>
      <c r="K18" s="145"/>
      <c r="L18" s="145"/>
    </row>
    <row r="19" spans="1:12" ht="25.5" customHeight="1">
      <c r="A19" s="143"/>
      <c r="B19" s="143"/>
      <c r="C19" s="144" t="s">
        <v>66</v>
      </c>
      <c r="D19" s="144"/>
      <c r="E19" s="17" t="s">
        <v>27</v>
      </c>
      <c r="F19" s="19"/>
      <c r="G19" s="20"/>
      <c r="H19" s="50"/>
      <c r="I19" s="145"/>
      <c r="J19" s="145"/>
      <c r="K19" s="145"/>
      <c r="L19" s="145"/>
    </row>
    <row r="20" spans="1:12" ht="25.5" customHeight="1">
      <c r="A20" s="143"/>
      <c r="B20" s="143"/>
      <c r="C20" s="144" t="s">
        <v>67</v>
      </c>
      <c r="D20" s="144"/>
      <c r="E20" s="17" t="s">
        <v>27</v>
      </c>
      <c r="F20" s="19"/>
      <c r="G20" s="20"/>
      <c r="H20" s="50"/>
      <c r="I20" s="145"/>
      <c r="J20" s="145"/>
      <c r="K20" s="145"/>
      <c r="L20" s="145"/>
    </row>
    <row r="21" spans="1:12" ht="25.5" customHeight="1">
      <c r="A21" s="143"/>
      <c r="B21" s="143"/>
      <c r="C21" s="111" t="s">
        <v>68</v>
      </c>
      <c r="D21" s="111"/>
      <c r="E21" s="22"/>
      <c r="F21" s="23"/>
      <c r="G21" s="24"/>
      <c r="H21" s="51">
        <f>SUM(H18:H20)</f>
        <v>0</v>
      </c>
      <c r="I21" s="52"/>
      <c r="J21" s="53"/>
      <c r="K21" s="53"/>
      <c r="L21" s="54"/>
    </row>
    <row r="22" spans="1:12" ht="25.5" customHeight="1">
      <c r="A22" s="143"/>
      <c r="B22" s="143"/>
      <c r="C22" s="146" t="s">
        <v>69</v>
      </c>
      <c r="D22" s="146"/>
      <c r="E22" s="146"/>
      <c r="F22" s="146"/>
      <c r="G22" s="146"/>
      <c r="H22" s="21"/>
      <c r="I22" s="145"/>
      <c r="J22" s="145"/>
      <c r="K22" s="145"/>
      <c r="L22" s="145"/>
    </row>
    <row r="23" spans="1:12" ht="25.5" customHeight="1">
      <c r="A23" s="143"/>
      <c r="B23" s="143"/>
      <c r="C23" s="146" t="s">
        <v>70</v>
      </c>
      <c r="D23" s="146"/>
      <c r="E23" s="146"/>
      <c r="F23" s="146"/>
      <c r="G23" s="146"/>
      <c r="H23" s="21"/>
      <c r="I23" s="147"/>
      <c r="J23" s="147"/>
      <c r="K23" s="147"/>
      <c r="L23" s="147"/>
    </row>
    <row r="24" spans="1:12" ht="25.5" customHeight="1">
      <c r="A24" s="148" t="s">
        <v>31</v>
      </c>
      <c r="B24" s="148"/>
      <c r="C24" s="114" t="s">
        <v>32</v>
      </c>
      <c r="D24" s="114"/>
      <c r="E24" s="18" t="s">
        <v>27</v>
      </c>
      <c r="F24" s="26"/>
      <c r="G24" s="27"/>
      <c r="H24" s="50"/>
      <c r="I24" s="147"/>
      <c r="J24" s="147"/>
      <c r="K24" s="147"/>
      <c r="L24" s="147"/>
    </row>
    <row r="25" spans="1:12" ht="25.5" customHeight="1">
      <c r="A25" s="148"/>
      <c r="B25" s="148"/>
      <c r="C25" s="114" t="s">
        <v>71</v>
      </c>
      <c r="D25" s="114"/>
      <c r="E25" s="18" t="s">
        <v>27</v>
      </c>
      <c r="F25" s="26"/>
      <c r="G25" s="27"/>
      <c r="H25" s="50"/>
      <c r="I25" s="147"/>
      <c r="J25" s="147"/>
      <c r="K25" s="147"/>
      <c r="L25" s="147"/>
    </row>
    <row r="26" spans="1:12" ht="25.5" customHeight="1">
      <c r="A26" s="148"/>
      <c r="B26" s="148"/>
      <c r="C26" s="149" t="s">
        <v>72</v>
      </c>
      <c r="D26" s="149"/>
      <c r="E26" s="18" t="s">
        <v>27</v>
      </c>
      <c r="F26" s="26"/>
      <c r="G26" s="27"/>
      <c r="H26" s="50"/>
      <c r="I26" s="145"/>
      <c r="J26" s="145"/>
      <c r="K26" s="145"/>
      <c r="L26" s="145"/>
    </row>
    <row r="27" spans="1:12" ht="25.5" customHeight="1">
      <c r="A27" s="148"/>
      <c r="B27" s="148"/>
      <c r="C27" s="111" t="s">
        <v>68</v>
      </c>
      <c r="D27" s="111"/>
      <c r="E27" s="55"/>
      <c r="F27" s="22"/>
      <c r="G27" s="24"/>
      <c r="H27" s="51">
        <f>SUM(H24:H26)</f>
        <v>0</v>
      </c>
      <c r="I27" s="150"/>
      <c r="J27" s="150"/>
      <c r="K27" s="150"/>
      <c r="L27" s="150"/>
    </row>
    <row r="28" spans="1:12" ht="25.5" customHeight="1">
      <c r="A28" s="143" t="s">
        <v>35</v>
      </c>
      <c r="B28" s="143"/>
      <c r="C28" s="110" t="s">
        <v>73</v>
      </c>
      <c r="D28" s="110"/>
      <c r="E28" s="18" t="s">
        <v>27</v>
      </c>
      <c r="F28" s="26"/>
      <c r="G28" s="20"/>
      <c r="H28" s="50"/>
      <c r="I28" s="145"/>
      <c r="J28" s="145"/>
      <c r="K28" s="145"/>
      <c r="L28" s="145"/>
    </row>
    <row r="29" spans="1:12" ht="25.5" customHeight="1">
      <c r="A29" s="143"/>
      <c r="B29" s="143"/>
      <c r="C29" s="146" t="s">
        <v>74</v>
      </c>
      <c r="D29" s="146"/>
      <c r="E29" s="146"/>
      <c r="F29" s="146"/>
      <c r="G29" s="146"/>
      <c r="H29" s="21"/>
      <c r="I29" s="147"/>
      <c r="J29" s="147"/>
      <c r="K29" s="147"/>
      <c r="L29" s="147"/>
    </row>
    <row r="30" spans="1:12" ht="25.5" customHeight="1">
      <c r="A30" s="143"/>
      <c r="B30" s="143"/>
      <c r="C30" s="111" t="s">
        <v>68</v>
      </c>
      <c r="D30" s="111"/>
      <c r="E30" s="23"/>
      <c r="F30" s="23"/>
      <c r="G30" s="56"/>
      <c r="H30" s="51">
        <f>SUM(H28)</f>
        <v>0</v>
      </c>
      <c r="I30" s="150"/>
      <c r="J30" s="150"/>
      <c r="K30" s="150"/>
      <c r="L30" s="150"/>
    </row>
    <row r="31" spans="1:12" ht="25.5" customHeight="1">
      <c r="A31" s="151" t="s">
        <v>43</v>
      </c>
      <c r="B31" s="151"/>
      <c r="C31" s="110"/>
      <c r="D31" s="110"/>
      <c r="E31" s="19" t="s">
        <v>75</v>
      </c>
      <c r="F31" s="19"/>
      <c r="G31" s="57"/>
      <c r="H31" s="58"/>
      <c r="I31" s="145"/>
      <c r="J31" s="145"/>
      <c r="K31" s="145"/>
      <c r="L31" s="145"/>
    </row>
    <row r="32" spans="1:12" ht="25.5" customHeight="1">
      <c r="A32" s="151"/>
      <c r="B32" s="151"/>
      <c r="C32" s="152" t="s">
        <v>76</v>
      </c>
      <c r="D32" s="152"/>
      <c r="E32" s="59">
        <v>0</v>
      </c>
      <c r="F32" s="26"/>
      <c r="G32" s="60"/>
      <c r="H32" s="61"/>
      <c r="I32" s="145"/>
      <c r="J32" s="145"/>
      <c r="K32" s="145"/>
      <c r="L32" s="145"/>
    </row>
    <row r="33" spans="1:12" ht="25.5" customHeight="1">
      <c r="A33" s="151"/>
      <c r="B33" s="151"/>
      <c r="C33" s="152" t="s">
        <v>77</v>
      </c>
      <c r="D33" s="152"/>
      <c r="E33" s="59">
        <v>0</v>
      </c>
      <c r="F33" s="26"/>
      <c r="G33" s="60"/>
      <c r="H33" s="61"/>
      <c r="I33" s="145"/>
      <c r="J33" s="145"/>
      <c r="K33" s="145"/>
      <c r="L33" s="145"/>
    </row>
    <row r="34" spans="1:12" ht="25.5" customHeight="1">
      <c r="A34" s="151"/>
      <c r="B34" s="151"/>
      <c r="C34" s="152" t="s">
        <v>78</v>
      </c>
      <c r="D34" s="152"/>
      <c r="E34" s="59">
        <v>0</v>
      </c>
      <c r="F34" s="26"/>
      <c r="G34" s="60"/>
      <c r="H34" s="61"/>
      <c r="I34" s="145"/>
      <c r="J34" s="145"/>
      <c r="K34" s="145"/>
      <c r="L34" s="145"/>
    </row>
    <row r="35" spans="1:12" ht="25.5" customHeight="1">
      <c r="A35" s="151"/>
      <c r="B35" s="151"/>
      <c r="C35" s="153" t="s">
        <v>79</v>
      </c>
      <c r="D35" s="153"/>
      <c r="E35" s="62">
        <v>0</v>
      </c>
      <c r="F35" s="63"/>
      <c r="G35" s="64"/>
      <c r="H35" s="80">
        <f>SUM(H32:H34)</f>
        <v>0</v>
      </c>
      <c r="I35" s="65"/>
      <c r="J35" s="66"/>
      <c r="K35" s="66"/>
      <c r="L35" s="67"/>
    </row>
    <row r="36" spans="1:12" ht="25.5" customHeight="1">
      <c r="A36" s="151"/>
      <c r="B36" s="151"/>
      <c r="C36" s="154" t="s">
        <v>80</v>
      </c>
      <c r="D36" s="154"/>
      <c r="E36" s="154"/>
      <c r="F36" s="154"/>
      <c r="G36" s="154"/>
      <c r="H36" s="68">
        <v>0</v>
      </c>
      <c r="I36" s="145"/>
      <c r="J36" s="145"/>
      <c r="K36" s="145"/>
      <c r="L36" s="145"/>
    </row>
    <row r="37" spans="1:12" ht="25.5" customHeight="1">
      <c r="A37" s="151"/>
      <c r="B37" s="151"/>
      <c r="C37" s="114" t="s">
        <v>81</v>
      </c>
      <c r="D37" s="114"/>
      <c r="E37" s="69">
        <v>0</v>
      </c>
      <c r="F37" s="18"/>
      <c r="G37" s="70"/>
      <c r="H37" s="61"/>
      <c r="I37" s="145"/>
      <c r="J37" s="145"/>
      <c r="K37" s="145"/>
      <c r="L37" s="145"/>
    </row>
    <row r="38" spans="1:12" ht="25.5" customHeight="1">
      <c r="A38" s="151"/>
      <c r="B38" s="151"/>
      <c r="C38" s="134" t="s">
        <v>82</v>
      </c>
      <c r="D38" s="134"/>
      <c r="E38" s="134"/>
      <c r="F38" s="134"/>
      <c r="G38" s="134"/>
      <c r="H38" s="79">
        <f>H35+H36+H37</f>
        <v>0</v>
      </c>
      <c r="I38" s="155" t="s">
        <v>83</v>
      </c>
      <c r="J38" s="155"/>
      <c r="K38" s="155"/>
      <c r="L38" s="155"/>
    </row>
    <row r="39" spans="1:12" ht="25.5" customHeight="1">
      <c r="A39" s="151"/>
      <c r="B39" s="151"/>
      <c r="C39" s="146" t="s">
        <v>84</v>
      </c>
      <c r="D39" s="146"/>
      <c r="E39" s="146"/>
      <c r="F39" s="146"/>
      <c r="G39" s="146"/>
      <c r="H39" s="21"/>
      <c r="I39" s="145"/>
      <c r="J39" s="145"/>
      <c r="K39" s="145"/>
      <c r="L39" s="145"/>
    </row>
    <row r="40" spans="1:12" ht="25.5" customHeight="1">
      <c r="A40" s="151"/>
      <c r="B40" s="151"/>
      <c r="C40" s="156" t="s">
        <v>45</v>
      </c>
      <c r="D40" s="156"/>
      <c r="E40" s="156"/>
      <c r="F40" s="156"/>
      <c r="G40" s="156"/>
      <c r="H40" s="71" t="s">
        <v>46</v>
      </c>
      <c r="I40" s="145"/>
      <c r="J40" s="145"/>
      <c r="K40" s="145"/>
      <c r="L40" s="145"/>
    </row>
    <row r="41" spans="1:12" ht="25.5" customHeight="1">
      <c r="A41" s="151"/>
      <c r="B41" s="151"/>
      <c r="C41" s="111" t="s">
        <v>68</v>
      </c>
      <c r="D41" s="111"/>
      <c r="E41" s="72"/>
      <c r="F41" s="22"/>
      <c r="G41" s="72"/>
      <c r="H41" s="51">
        <f>H38*G31</f>
        <v>0</v>
      </c>
      <c r="I41" s="52"/>
      <c r="J41" s="53"/>
      <c r="K41" s="53"/>
      <c r="L41" s="54"/>
    </row>
    <row r="42" spans="1:12" ht="25.5" customHeight="1">
      <c r="A42" s="157" t="s">
        <v>47</v>
      </c>
      <c r="B42" s="157"/>
      <c r="C42" s="114" t="s">
        <v>85</v>
      </c>
      <c r="D42" s="114"/>
      <c r="E42" s="17" t="s">
        <v>27</v>
      </c>
      <c r="F42" s="18"/>
      <c r="G42" s="27"/>
      <c r="H42" s="50"/>
      <c r="I42" s="145"/>
      <c r="J42" s="145"/>
      <c r="K42" s="145"/>
      <c r="L42" s="145"/>
    </row>
    <row r="43" spans="1:12" ht="25.5" customHeight="1">
      <c r="A43" s="157"/>
      <c r="B43" s="157"/>
      <c r="C43" s="114" t="s">
        <v>86</v>
      </c>
      <c r="D43" s="114"/>
      <c r="E43" s="17" t="s">
        <v>27</v>
      </c>
      <c r="F43" s="18"/>
      <c r="G43" s="27"/>
      <c r="H43" s="50"/>
      <c r="I43" s="145"/>
      <c r="J43" s="145"/>
      <c r="K43" s="145"/>
      <c r="L43" s="145"/>
    </row>
    <row r="44" spans="1:12" ht="25.5" customHeight="1">
      <c r="A44" s="157"/>
      <c r="B44" s="157"/>
      <c r="C44" s="114" t="s">
        <v>87</v>
      </c>
      <c r="D44" s="114"/>
      <c r="E44" s="17" t="s">
        <v>27</v>
      </c>
      <c r="F44" s="18"/>
      <c r="G44" s="27"/>
      <c r="H44" s="50"/>
      <c r="I44" s="145"/>
      <c r="J44" s="145"/>
      <c r="K44" s="145"/>
      <c r="L44" s="145"/>
    </row>
    <row r="45" spans="1:12" ht="25.5" customHeight="1">
      <c r="A45" s="157"/>
      <c r="B45" s="157"/>
      <c r="C45" s="114" t="s">
        <v>88</v>
      </c>
      <c r="D45" s="114"/>
      <c r="E45" s="17" t="s">
        <v>27</v>
      </c>
      <c r="F45" s="18"/>
      <c r="G45" s="27"/>
      <c r="H45" s="50"/>
      <c r="I45" s="145"/>
      <c r="J45" s="145"/>
      <c r="K45" s="145"/>
      <c r="L45" s="145"/>
    </row>
    <row r="46" spans="1:12" ht="25.5" customHeight="1">
      <c r="A46" s="157"/>
      <c r="B46" s="157"/>
      <c r="C46" s="114" t="s">
        <v>29</v>
      </c>
      <c r="D46" s="114"/>
      <c r="E46" s="26"/>
      <c r="F46" s="18"/>
      <c r="G46" s="27"/>
      <c r="H46" s="50"/>
      <c r="I46" s="158"/>
      <c r="J46" s="158"/>
      <c r="K46" s="158"/>
      <c r="L46" s="158"/>
    </row>
    <row r="47" spans="1:12" ht="25.5" customHeight="1">
      <c r="A47" s="157"/>
      <c r="B47" s="157"/>
      <c r="C47" s="111" t="s">
        <v>68</v>
      </c>
      <c r="D47" s="111"/>
      <c r="E47" s="73"/>
      <c r="F47" s="74"/>
      <c r="G47" s="75"/>
      <c r="H47" s="51">
        <f>SUM(H42:H46)</f>
        <v>0</v>
      </c>
      <c r="I47" s="52"/>
      <c r="J47" s="53"/>
      <c r="K47" s="53"/>
      <c r="L47" s="54"/>
    </row>
    <row r="48" spans="1:12" ht="25.5" customHeight="1">
      <c r="A48" s="159" t="s">
        <v>57</v>
      </c>
      <c r="B48" s="159"/>
      <c r="C48" s="160" t="s">
        <v>58</v>
      </c>
      <c r="D48" s="160"/>
      <c r="E48" s="76"/>
      <c r="F48" s="77"/>
      <c r="G48" s="42"/>
      <c r="H48" s="78">
        <f>H21+H27+H30+H41+H47</f>
        <v>0</v>
      </c>
      <c r="I48" s="161"/>
      <c r="J48" s="161"/>
      <c r="K48" s="161"/>
      <c r="L48" s="161"/>
    </row>
    <row r="49" spans="1:12" ht="7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ht="24" customHeight="1">
      <c r="A50" s="87" t="s">
        <v>62</v>
      </c>
      <c r="B50" s="2" t="s">
        <v>2</v>
      </c>
      <c r="C50" s="2" t="s">
        <v>3</v>
      </c>
      <c r="D50" s="3" t="s">
        <v>4</v>
      </c>
      <c r="E50" s="11"/>
      <c r="F50" s="11"/>
      <c r="G50" s="11"/>
      <c r="H50" s="11"/>
      <c r="I50" s="11"/>
      <c r="J50" s="11"/>
      <c r="K50" s="46" t="s">
        <v>3</v>
      </c>
      <c r="L50" s="3" t="s">
        <v>4</v>
      </c>
    </row>
    <row r="51" spans="1:12" ht="120" customHeight="1">
      <c r="A51" s="87"/>
      <c r="B51" s="5"/>
      <c r="C51" s="5"/>
      <c r="D51" s="6"/>
      <c r="E51" s="11"/>
      <c r="F51" s="11"/>
      <c r="G51" s="11"/>
      <c r="H51" s="11"/>
      <c r="I51" s="11"/>
      <c r="J51" s="11"/>
      <c r="K51" s="47"/>
      <c r="L51" s="6"/>
    </row>
    <row r="52" spans="1:12" ht="24" customHeight="1">
      <c r="A52" s="87"/>
      <c r="B52" s="7" t="s">
        <v>7</v>
      </c>
      <c r="C52" s="8" t="s">
        <v>7</v>
      </c>
      <c r="D52" s="9" t="s">
        <v>7</v>
      </c>
      <c r="E52" s="11"/>
      <c r="F52" s="11"/>
      <c r="G52" s="11"/>
      <c r="H52" s="11"/>
      <c r="I52" s="11"/>
      <c r="J52" s="11"/>
      <c r="K52" s="48" t="s">
        <v>7</v>
      </c>
      <c r="L52" s="9" t="s">
        <v>7</v>
      </c>
    </row>
    <row r="53" spans="1:12" ht="16">
      <c r="A53" s="128" t="s">
        <v>63</v>
      </c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</row>
  </sheetData>
  <mergeCells count="92">
    <mergeCell ref="A48:B48"/>
    <mergeCell ref="C48:D48"/>
    <mergeCell ref="I48:L48"/>
    <mergeCell ref="A50:A52"/>
    <mergeCell ref="A53:L53"/>
    <mergeCell ref="A42:B47"/>
    <mergeCell ref="C42:D42"/>
    <mergeCell ref="I42:L42"/>
    <mergeCell ref="C43:D43"/>
    <mergeCell ref="I43:L43"/>
    <mergeCell ref="C44:D44"/>
    <mergeCell ref="I44:L44"/>
    <mergeCell ref="C45:D45"/>
    <mergeCell ref="I45:L45"/>
    <mergeCell ref="C46:D46"/>
    <mergeCell ref="I46:L46"/>
    <mergeCell ref="C47:D47"/>
    <mergeCell ref="C39:G39"/>
    <mergeCell ref="I39:L39"/>
    <mergeCell ref="C40:G40"/>
    <mergeCell ref="I40:L40"/>
    <mergeCell ref="C41:D41"/>
    <mergeCell ref="A31:B41"/>
    <mergeCell ref="C31:D31"/>
    <mergeCell ref="I31:L31"/>
    <mergeCell ref="C32:D32"/>
    <mergeCell ref="I32:L32"/>
    <mergeCell ref="C33:D33"/>
    <mergeCell ref="I33:L33"/>
    <mergeCell ref="C34:D34"/>
    <mergeCell ref="I34:L34"/>
    <mergeCell ref="C35:D35"/>
    <mergeCell ref="C36:G36"/>
    <mergeCell ref="I36:L36"/>
    <mergeCell ref="C37:D37"/>
    <mergeCell ref="I37:L37"/>
    <mergeCell ref="C38:G38"/>
    <mergeCell ref="I38:L38"/>
    <mergeCell ref="A28:B30"/>
    <mergeCell ref="C28:D28"/>
    <mergeCell ref="I28:L28"/>
    <mergeCell ref="C29:G29"/>
    <mergeCell ref="I29:L29"/>
    <mergeCell ref="C30:D30"/>
    <mergeCell ref="I30:L30"/>
    <mergeCell ref="A24:B27"/>
    <mergeCell ref="C24:D24"/>
    <mergeCell ref="I24:L24"/>
    <mergeCell ref="C25:D25"/>
    <mergeCell ref="I25:L25"/>
    <mergeCell ref="C26:D26"/>
    <mergeCell ref="I26:L26"/>
    <mergeCell ref="C27:D27"/>
    <mergeCell ref="I27:L27"/>
    <mergeCell ref="A18:B23"/>
    <mergeCell ref="C18:D18"/>
    <mergeCell ref="I18:L18"/>
    <mergeCell ref="C19:D19"/>
    <mergeCell ref="I19:L19"/>
    <mergeCell ref="C20:D20"/>
    <mergeCell ref="I20:L20"/>
    <mergeCell ref="C21:D21"/>
    <mergeCell ref="C22:G22"/>
    <mergeCell ref="I22:L22"/>
    <mergeCell ref="C23:G23"/>
    <mergeCell ref="I23:L23"/>
    <mergeCell ref="A9:L9"/>
    <mergeCell ref="A10:L10"/>
    <mergeCell ref="A11:L11"/>
    <mergeCell ref="A12:L14"/>
    <mergeCell ref="A16:B17"/>
    <mergeCell ref="C16:G16"/>
    <mergeCell ref="H16:L16"/>
    <mergeCell ref="C17:D17"/>
    <mergeCell ref="I17:L17"/>
    <mergeCell ref="A4:B4"/>
    <mergeCell ref="C4:G4"/>
    <mergeCell ref="H4:I4"/>
    <mergeCell ref="J4:L4"/>
    <mergeCell ref="A5:B7"/>
    <mergeCell ref="C5:E5"/>
    <mergeCell ref="F5:G5"/>
    <mergeCell ref="H5:I7"/>
    <mergeCell ref="J5:L7"/>
    <mergeCell ref="C6:E6"/>
    <mergeCell ref="C7:G7"/>
    <mergeCell ref="A1:H2"/>
    <mergeCell ref="I1:I3"/>
    <mergeCell ref="A3:B3"/>
    <mergeCell ref="C3:D3"/>
    <mergeCell ref="E3:F3"/>
    <mergeCell ref="G3:H3"/>
  </mergeCells>
  <phoneticPr fontId="17" type="noConversion"/>
  <printOptions horizontalCentered="1" verticalCentered="1"/>
  <pageMargins left="0" right="0" top="0" bottom="0" header="0" footer="0"/>
  <pageSetup paperSize="9" scale="55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Domestic</vt:lpstr>
      <vt:lpstr>Overseas</vt:lpstr>
      <vt:lpstr>Domestic!Print_Area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현진 김</dc:creator>
  <dc:description/>
  <cp:lastModifiedBy>현진 김</cp:lastModifiedBy>
  <cp:revision>32</cp:revision>
  <cp:lastPrinted>2026-06-11T05:25:27Z</cp:lastPrinted>
  <dcterms:created xsi:type="dcterms:W3CDTF">2025-11-11T04:02:44Z</dcterms:created>
  <dcterms:modified xsi:type="dcterms:W3CDTF">2026-08-06T06:16:24Z</dcterms:modified>
  <dc:language>ko-KR</dc:language>
</cp:coreProperties>
</file>