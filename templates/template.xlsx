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dia/image1.png" ContentType="image/p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omestic" sheetId="1" state="visible" r:id="rId3"/>
    <sheet name="Oversea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<sst xmlns="http://schemas.openxmlformats.org/spreadsheetml/2006/main" count="194" uniqueCount="97">
  <si>
    <t xml:space="preserve">국내 출장명령/정산서</t>
  </si>
  <si>
    <t xml:space="preserve">결재(사전-명령)</t>
  </si>
  <si>
    <t xml:space="preserve">담당</t>
  </si>
  <si>
    <t xml:space="preserve">부서장</t>
  </si>
  <si>
    <t xml:space="preserve">대표</t>
  </si>
  <si>
    <t xml:space="preserve">작 성  부 서</t>
  </si>
  <si>
    <t xml:space="preserve">연구소</t>
  </si>
  <si>
    <t xml:space="preserve">작  성  자</t>
  </si>
  <si>
    <t xml:space="preserve">홍길동</t>
  </si>
  <si>
    <t xml:space="preserve">/</t>
  </si>
  <si>
    <t xml:space="preserve">출 장  목 적</t>
  </si>
  <si>
    <t xml:space="preserve">울산51 스마트박스 개조</t>
  </si>
  <si>
    <t xml:space="preserve">출장장소</t>
  </si>
  <si>
    <t xml:space="preserve">울산공장</t>
  </si>
  <si>
    <t xml:space="preserve">출 장  기 간</t>
  </si>
  <si>
    <t xml:space="preserve">부터</t>
  </si>
  <si>
    <t xml:space="preserve">PROJECT NO</t>
  </si>
  <si>
    <t xml:space="preserve">P123456789</t>
  </si>
  <si>
    <t xml:space="preserve">까지</t>
  </si>
  <si>
    <t xml:space="preserve">2박3일</t>
  </si>
  <si>
    <t xml:space="preserve">출장 업무 수행내용 요약</t>
  </si>
  <si>
    <t xml:space="preserve">프로젝트 보고서 서버 업로드 파일 참조(PJT보고서 업로드 한 경우 기입 생략)</t>
  </si>
  <si>
    <t xml:space="preserve">별도 PJT 보고서 없는 경우 수행 업무 내용 요약 작성하십시오.</t>
  </si>
  <si>
    <t xml:space="preserve">구  분</t>
  </si>
  <si>
    <t xml:space="preserve">규정</t>
  </si>
  <si>
    <t xml:space="preserve">사용(정산) 금액</t>
  </si>
  <si>
    <t xml:space="preserve">세부 구분</t>
  </si>
  <si>
    <t xml:space="preserve">단가</t>
  </si>
  <si>
    <t xml:space="preserve">회</t>
  </si>
  <si>
    <t xml:space="preserve">금액(원)</t>
  </si>
  <si>
    <t xml:space="preserve">내  역</t>
  </si>
  <si>
    <t xml:space="preserve">교통비
(출장지이동/복귀)</t>
  </si>
  <si>
    <t xml:space="preserve">항공</t>
  </si>
  <si>
    <t xml:space="preserve">실비</t>
  </si>
  <si>
    <t xml:space="preserve">KTX</t>
  </si>
  <si>
    <t xml:space="preserve">기타</t>
  </si>
  <si>
    <t xml:space="preserve">합계</t>
  </si>
  <si>
    <t xml:space="preserve">현지교통비</t>
  </si>
  <si>
    <t xml:space="preserve">주차비</t>
  </si>
  <si>
    <t xml:space="preserve">택시(이동 수단 없는 경우)</t>
  </si>
  <si>
    <t xml:space="preserve">버스(시내버스 제외-일비에 포함)</t>
  </si>
  <si>
    <t xml:space="preserve">숙박비
(1인1실)</t>
  </si>
  <si>
    <t xml:space="preserve">금/토,휴일 전 밤(울산)</t>
  </si>
  <si>
    <t xml:space="preserve">금/토,휴일 전 밤(울산 이외)</t>
  </si>
  <si>
    <t xml:space="preserve">주중,평일(전지역)</t>
  </si>
  <si>
    <t xml:space="preserve">숙박정산금액</t>
  </si>
  <si>
    <t xml:space="preserve">(규정 합계- 정산 합계)</t>
  </si>
  <si>
    <t xml:space="preserve">가.규정 초과인 경우 초과 금액은 일비를 차감후 지급</t>
  </si>
  <si>
    <t xml:space="preserve">나.규정 이하인 경우 해당 차액은 월간 개인합계 급여 추가 지급(과세)</t>
  </si>
  <si>
    <t xml:space="preserve">일  비</t>
  </si>
  <si>
    <t xml:space="preserve">국내-일비(공통, 임원제외)</t>
  </si>
  <si>
    <t xml:space="preserve">국내-휴일특별수당(공통, 임원제외)</t>
  </si>
  <si>
    <t xml:space="preserve">가.일비는 숙박 영수증이 증빙되는 경우(1박 이상)에만 지급한다.</t>
  </si>
  <si>
    <t xml:space="preserve">나.1일 1건 이상의 사용 내역 첨부할 것(개인카드전표,현금영수증,기타)</t>
  </si>
  <si>
    <t xml:space="preserve">Y</t>
  </si>
  <si>
    <t xml:space="preserve">기  타</t>
  </si>
  <si>
    <t xml:space="preserve">기타 정산 항목</t>
  </si>
  <si>
    <t xml:space="preserve">법인차량 유류비</t>
  </si>
  <si>
    <r>
      <rPr>
        <sz val="14"/>
        <color theme="1"/>
        <rFont val="Pretendard"/>
        <family val="0"/>
        <charset val="1"/>
      </rPr>
      <t xml:space="preserve">개인차량 유류비</t>
    </r>
    <r>
      <rPr>
        <b val="true"/>
        <sz val="14"/>
        <color theme="1"/>
        <rFont val="Pretendard Regular"/>
        <family val="0"/>
        <charset val="1"/>
      </rPr>
      <t xml:space="preserve">(Y)</t>
    </r>
  </si>
  <si>
    <t xml:space="preserve">유류단가(원)</t>
  </si>
  <si>
    <t xml:space="preserve">연비(km/L)</t>
  </si>
  <si>
    <t xml:space="preserve">운행거리(km)</t>
  </si>
  <si>
    <t xml:space="preserve">가.법인차량 배차가 어려운 경우에 한하여 개인차량 사용할 것.</t>
  </si>
  <si>
    <t xml:space="preserve">나.개인차량 주유 영수증(운행전 또는 운행중 유류단가확인용) 첨부할 것</t>
  </si>
  <si>
    <t xml:space="preserve">다.연비-개인차량정보, 운행거리 네이버 지도 검색 기준으로 반영할 것</t>
  </si>
  <si>
    <t xml:space="preserve">계</t>
  </si>
  <si>
    <t xml:space="preserve">전체 비용 합계</t>
  </si>
  <si>
    <t xml:space="preserve">(과세) 수령금액</t>
  </si>
  <si>
    <t xml:space="preserve">(비과세) 수령금액</t>
  </si>
  <si>
    <t xml:space="preserve">출장일비+개인차량유류비</t>
  </si>
  <si>
    <t xml:space="preserve">결재(사후-정산)</t>
  </si>
  <si>
    <t xml:space="preserve">㈜단테크 "單-make simple"</t>
  </si>
  <si>
    <t xml:space="preserve">해외 출장명령/정산서</t>
  </si>
  <si>
    <t xml:space="preserve">금액</t>
  </si>
  <si>
    <t xml:space="preserve">픽업(국내-택시)</t>
  </si>
  <si>
    <t xml:space="preserve">픽업(현지)</t>
  </si>
  <si>
    <t xml:space="preserve">합계-KRW</t>
  </si>
  <si>
    <t xml:space="preserve">가.국내 공항이동 리무진 비용은 일비에 포함한다. 별도 실비정산-X</t>
  </si>
  <si>
    <t xml:space="preserve">나.국내 공항이동 택시는 부서장 사전 승인을 필할 것(야간,화물,기타사유)</t>
  </si>
  <si>
    <t xml:space="preserve">택시</t>
  </si>
  <si>
    <t xml:space="preserve">렌탈</t>
  </si>
  <si>
    <t xml:space="preserve">숙박</t>
  </si>
  <si>
    <t xml:space="preserve">가.숙박비 한도는 규정을 따를 것(A/B/C지역및직급 구분)</t>
  </si>
  <si>
    <t xml:space="preserve">USD($)/1일</t>
  </si>
  <si>
    <t xml:space="preserve">해외A/B/C-일비(매니저)</t>
  </si>
  <si>
    <t xml:space="preserve">해외A/B/C-일비(책임매니저)</t>
  </si>
  <si>
    <t xml:space="preserve">해외A/B/C-일비(그외-공통, 임원포함)</t>
  </si>
  <si>
    <t xml:space="preserve">합계-USD</t>
  </si>
  <si>
    <t xml:space="preserve">렌탈, 택시 실비하는 경우 일비 10% 차감</t>
  </si>
  <si>
    <t xml:space="preserve">설날/추석명절 특별 일비 추가 지급</t>
  </si>
  <si>
    <t xml:space="preserve">(비과세) 수령금액(USD)</t>
  </si>
  <si>
    <t xml:space="preserve">출장일비-렌탈OR택시10%차감+명절일비추가지급</t>
  </si>
  <si>
    <t xml:space="preserve">가.일비는 항공권 출도착 기준으로 산정할 것</t>
  </si>
  <si>
    <t xml:space="preserve">여행자 보험</t>
  </si>
  <si>
    <t xml:space="preserve">유심 카드</t>
  </si>
  <si>
    <t xml:space="preserve">해외로밍</t>
  </si>
  <si>
    <t xml:space="preserve">현지 약물검사, 건강검진 서류 발급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</si>
</sst>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_-\₩* #,##0_-;&quot;-₩&quot;* #,##0_-;_-\₩* \-_-;_-@_-"/>
    <numFmt numFmtId="166" formatCode="yyyy/mm/dd;@"/>
    <numFmt numFmtId="167" formatCode="_-[$$-409]* #,##0_ ;_-[$$-409]* \-#,##0\ ;_-[$$-409]* \-??_ ;_-@_ "/>
    <numFmt numFmtId="168" formatCode="_(* #,##0_);_(* \(#,##0\);_(* \-_);_(@_)"/>
    <numFmt numFmtId="169" formatCode="#,##0_ ;[RED]\-#,##0\ "/>
    <numFmt numFmtId="170" formatCode="#,##0_ "/>
    <numFmt numFmtId="171" formatCode="#,##0;[RED]\-#,##0"/>
    <numFmt numFmtId="172" formatCode="_-[$₩-412]* #,##0_-;\-[$₩-412]* #,##0_-;_-[$₩-412]* \-??_-;_-@_-"/>
    <numFmt numFmtId="173" formatCode="_(\₩* #,##0_);_(\₩* \(#,##0\);_(\₩* \-_);_(@_)"/>
    <numFmt numFmtId="174" formatCode="_(\$* #,##0.00_);_(\$* \(#,##0.00\);_(\$* \-??_);_(@_)"/>
    <numFmt numFmtId="175" formatCode="_-* #,##0_-;\-* #,##0_-;_-* \-_-;_-@_-"/>
    <numFmt numFmtId="176" formatCode="0%"/>
    <numFmt numFmtId="177" formatCode="_-* #,##0.00_-;\-* #,##0.00_-;_-* \-_-;_-@_-"/>
    <numFmt numFmtId="178" formatCode="\₩#,##0;[RED]&quot;-₩&quot;#,##0"/>
  </numFmts>
  <fonts count="19">
    <font>
      <sz val="12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돋움"/>
      <family val="3"/>
      <charset val="129"/>
    </font>
    <font>
      <sz val="12"/>
      <color theme="1"/>
      <name val="Pretendard"/>
      <family val="0"/>
      <charset val="1"/>
    </font>
    <font>
      <b val="true"/>
      <sz val="48"/>
      <name val="Pretendard"/>
      <family val="0"/>
      <charset val="1"/>
    </font>
    <font>
      <b val="true"/>
      <sz val="14"/>
      <name val="Pretendard"/>
      <family val="0"/>
      <charset val="1"/>
    </font>
    <font>
      <sz val="12"/>
      <name val="Pretendard"/>
      <family val="0"/>
      <charset val="1"/>
    </font>
    <font>
      <sz val="14"/>
      <name val="Pretendard"/>
      <family val="0"/>
      <charset val="1"/>
    </font>
    <font>
      <sz val="14"/>
      <color theme="1"/>
      <name val="Pretendard"/>
      <family val="0"/>
      <charset val="1"/>
    </font>
    <font>
      <sz val="14"/>
      <color rgb="FF0000FF"/>
      <name val="Pretendard"/>
      <family val="0"/>
      <charset val="1"/>
    </font>
    <font>
      <sz val="14"/>
      <color theme="0"/>
      <name val="Pretendard"/>
      <family val="0"/>
      <charset val="1"/>
    </font>
    <font>
      <b val="true"/>
      <sz val="14"/>
      <color theme="1"/>
      <name val="Pretendard"/>
      <family val="0"/>
      <charset val="1"/>
    </font>
    <font>
      <sz val="14"/>
      <color rgb="FFFF0000"/>
      <name val="Pretendard"/>
      <family val="0"/>
      <charset val="1"/>
    </font>
    <font>
      <b val="true"/>
      <sz val="14"/>
      <color theme="1"/>
      <name val="Pretendard Regular"/>
      <family val="0"/>
      <charset val="1"/>
    </font>
    <font>
      <b val="true"/>
      <sz val="12"/>
      <name val="Pretendard"/>
      <family val="0"/>
      <charset val="1"/>
    </font>
    <font>
      <sz val="14"/>
      <color rgb="FF000000"/>
      <name val="Pretendard"/>
      <family val="0"/>
      <charset val="1"/>
    </font>
    <font>
      <b val="true"/>
      <sz val="14"/>
      <color rgb="FF000000"/>
      <name val="Pretendard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theme="7" tint="0.7998"/>
        <bgColor rgb="FFC1E5F5"/>
      </patternFill>
    </fill>
    <fill>
      <patternFill patternType="solid">
        <fgColor theme="0" tint="-0.15"/>
        <bgColor rgb="FFC1E5F5"/>
      </patternFill>
    </fill>
    <fill>
      <patternFill patternType="solid">
        <fgColor theme="4" tint="0.7998"/>
        <bgColor rgb="FFCAEEFB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double"/>
      <top style="thin"/>
      <bottom/>
      <diagonal/>
    </border>
    <border diagonalUp="false" diagonalDown="false">
      <left style="thin"/>
      <right/>
      <top style="double"/>
      <bottom style="double"/>
      <diagonal/>
    </border>
    <border diagonalUp="false" diagonalDown="false">
      <left style="thin"/>
      <right style="thin"/>
      <top style="double"/>
      <bottom style="double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double"/>
      <right style="thin"/>
      <top/>
      <bottom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double"/>
      <bottom/>
      <diagonal/>
    </border>
    <border diagonalUp="false" diagonalDown="false">
      <left/>
      <right style="thin"/>
      <top style="double"/>
      <bottom/>
      <diagonal/>
    </border>
    <border diagonalUp="false" diagonalDown="false">
      <left style="thin"/>
      <right style="double"/>
      <top style="double"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double"/>
      <top/>
      <bottom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 style="double"/>
      <top style="thin"/>
      <bottom style="hair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21" applyFont="true" applyBorder="true" applyAlignment="true" applyProtection="false">
      <alignment horizontal="center" vertical="center" textRotation="255" wrapText="false" indent="0" shrinkToFit="true"/>
      <protection locked="true" hidden="false"/>
    </xf>
    <xf numFmtId="164" fontId="7" fillId="0" borderId="3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5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6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8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2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3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4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2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2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22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3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2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5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24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27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7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0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25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0" borderId="24" xfId="22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8" fontId="9" fillId="0" borderId="28" xfId="22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8" fontId="7" fillId="4" borderId="27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7" fillId="4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4" borderId="25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7" fillId="4" borderId="24" xfId="22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8" fontId="7" fillId="4" borderId="28" xfId="22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9" fillId="0" borderId="2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5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0" borderId="24" xfId="2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5" fontId="9" fillId="0" borderId="28" xfId="2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8" fontId="7" fillId="5" borderId="27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5" borderId="27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5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5" borderId="25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7" fillId="5" borderId="24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9" fillId="5" borderId="28" xfId="22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8" fontId="11" fillId="0" borderId="25" xfId="2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12" fillId="0" borderId="24" xfId="22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8" fontId="12" fillId="0" borderId="28" xfId="22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9" fillId="0" borderId="24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25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6" borderId="27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7" fillId="6" borderId="27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7" fillId="6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6" borderId="25" xfId="22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8" fontId="7" fillId="6" borderId="28" xfId="22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11" fillId="0" borderId="25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25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24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10" fillId="0" borderId="28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10" fillId="6" borderId="27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6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2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5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24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14" fillId="0" borderId="28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7" fillId="0" borderId="2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5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24" xfId="21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0" fontId="7" fillId="0" borderId="28" xfId="21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7" fillId="5" borderId="25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7" fillId="5" borderId="24" xfId="21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9" fontId="9" fillId="5" borderId="28" xfId="21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6" borderId="25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6" borderId="24" xfId="21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0" fontId="9" fillId="6" borderId="28" xfId="21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9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3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3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7" fillId="3" borderId="2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27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27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2" fontId="9" fillId="0" borderId="24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17" fillId="0" borderId="28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3" fontId="7" fillId="4" borderId="24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18" fillId="4" borderId="25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18" fillId="4" borderId="32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18" fillId="4" borderId="33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11" fillId="0" borderId="28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0" borderId="28" xfId="20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9" fillId="0" borderId="5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4" borderId="3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7" fillId="4" borderId="24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18" fillId="4" borderId="27" xfId="22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7" fillId="4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32" xfId="22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9" fillId="0" borderId="24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9" fillId="0" borderId="27" xfId="21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9" fillId="0" borderId="27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9" fillId="0" borderId="25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24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4" fontId="7" fillId="6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27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7" fillId="6" borderId="25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6" borderId="30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18" fillId="6" borderId="25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18" fillId="6" borderId="32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18" fillId="6" borderId="33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9" fillId="0" borderId="28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9" fillId="0" borderId="3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4" fontId="9" fillId="0" borderId="35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3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6" borderId="24" xfId="21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17" fillId="6" borderId="25" xfId="22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14" fillId="0" borderId="28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0" fillId="0" borderId="24" xfId="22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7" fontId="7" fillId="4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0" borderId="28" xfId="21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9" fillId="4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4" borderId="27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4" borderId="25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7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0" borderId="24" xfId="21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8" fontId="18" fillId="0" borderId="27" xfId="21" applyFont="true" applyBorder="true" applyAlignment="true" applyProtection="false">
      <alignment horizontal="left" vertical="center" textRotation="0" wrapText="false" indent="0" shrinkToFit="tru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통화 [0] 2" xfId="20"/>
    <cellStyle name="표준 2" xfId="21"/>
    <cellStyle name="Excel Built-in Comma [0] 1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1E5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901800</xdr:colOff>
      <xdr:row>49</xdr:row>
      <xdr:rowOff>0</xdr:rowOff>
    </xdr:from>
    <xdr:to>
      <xdr:col>9</xdr:col>
      <xdr:colOff>424080</xdr:colOff>
      <xdr:row>52</xdr:row>
      <xdr:rowOff>3240</xdr:rowOff>
    </xdr:to>
    <xdr:pic>
      <xdr:nvPicPr>
        <xdr:cNvPr id="1" name="그림 3" descr=""/>
        <xdr:cNvPicPr/>
      </xdr:nvPicPr>
      <xdr:blipFill>
        <a:blip r:embed="rId1"/>
        <a:stretch/>
      </xdr:blipFill>
      <xdr:spPr>
        <a:xfrm>
          <a:off x="4778640" y="16287840"/>
          <a:ext cx="3739320" cy="2136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909360</xdr:colOff>
      <xdr:row>49</xdr:row>
      <xdr:rowOff>720</xdr:rowOff>
    </xdr:from>
    <xdr:to>
      <xdr:col>9</xdr:col>
      <xdr:colOff>317160</xdr:colOff>
      <xdr:row>52</xdr:row>
      <xdr:rowOff>3960</xdr:rowOff>
    </xdr:to>
    <xdr:pic>
      <xdr:nvPicPr>
        <xdr:cNvPr id="2" name="그림 2" descr=""/>
        <xdr:cNvPicPr/>
      </xdr:nvPicPr>
      <xdr:blipFill>
        <a:blip r:embed="rId1"/>
        <a:stretch/>
      </xdr:blipFill>
      <xdr:spPr>
        <a:xfrm>
          <a:off x="4786200" y="16288560"/>
          <a:ext cx="3727080" cy="2136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3"/>
  <sheetViews>
    <sheetView showFormulas="false" showGridLines="true" showRowColHeaders="true" showZeros="true" rightToLeft="false" tabSelected="false" showOutlineSymbols="true" defaultGridColor="true" view="normal" topLeftCell="A36" colorId="64" zoomScale="90" zoomScaleNormal="90" zoomScalePageLayoutView="110" workbookViewId="0">
      <selection pane="topLeft" activeCell="H18" activeCellId="0" sqref="H18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5.57"/>
    <col collapsed="false" customWidth="true" hidden="false" outlineLevel="0" max="4" min="2" style="1" width="14.42"/>
    <col collapsed="false" customWidth="true" hidden="false" outlineLevel="0" max="5" min="5" style="1" width="12.42"/>
    <col collapsed="false" customWidth="true" hidden="false" outlineLevel="0" max="6" min="6" style="1" width="10.29"/>
    <col collapsed="false" customWidth="true" hidden="false" outlineLevel="0" max="8" min="7" style="1" width="12.42"/>
    <col collapsed="false" customWidth="true" hidden="false" outlineLevel="0" max="9" min="9" style="1" width="5.57"/>
    <col collapsed="false" customWidth="true" hidden="false" outlineLevel="0" max="12" min="10" style="1" width="14.42"/>
    <col collapsed="false" customWidth="false" hidden="false" outlineLevel="0" max="16384" min="13" style="1" width="10.7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3" t="s">
        <v>1</v>
      </c>
      <c r="J1" s="4" t="s">
        <v>2</v>
      </c>
      <c r="K1" s="4" t="s">
        <v>3</v>
      </c>
      <c r="L1" s="5" t="s">
        <v>4</v>
      </c>
      <c r="M1" s="6"/>
    </row>
    <row r="2" customFormat="false" ht="120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3"/>
      <c r="J2" s="7"/>
      <c r="K2" s="7"/>
      <c r="L2" s="8"/>
      <c r="M2" s="6"/>
    </row>
    <row r="3" customFormat="false" ht="28.5" hidden="false" customHeight="true" outlineLevel="0" collapsed="false">
      <c r="A3" s="9" t="s">
        <v>5</v>
      </c>
      <c r="B3" s="9"/>
      <c r="C3" s="10" t="s">
        <v>6</v>
      </c>
      <c r="D3" s="10"/>
      <c r="E3" s="11" t="s">
        <v>7</v>
      </c>
      <c r="F3" s="11"/>
      <c r="G3" s="10" t="s">
        <v>8</v>
      </c>
      <c r="H3" s="10"/>
      <c r="I3" s="3"/>
      <c r="J3" s="12" t="s">
        <v>9</v>
      </c>
      <c r="K3" s="13" t="s">
        <v>9</v>
      </c>
      <c r="L3" s="14" t="s">
        <v>9</v>
      </c>
    </row>
    <row r="4" customFormat="false" ht="28.5" hidden="false" customHeight="true" outlineLevel="0" collapsed="false">
      <c r="A4" s="15" t="s">
        <v>10</v>
      </c>
      <c r="B4" s="15"/>
      <c r="C4" s="16" t="s">
        <v>11</v>
      </c>
      <c r="D4" s="16"/>
      <c r="E4" s="16"/>
      <c r="F4" s="16"/>
      <c r="G4" s="16"/>
      <c r="H4" s="11" t="s">
        <v>12</v>
      </c>
      <c r="I4" s="11"/>
      <c r="J4" s="17" t="s">
        <v>13</v>
      </c>
      <c r="K4" s="17"/>
      <c r="L4" s="17"/>
    </row>
    <row r="5" customFormat="false" ht="22.5" hidden="false" customHeight="true" outlineLevel="0" collapsed="false">
      <c r="A5" s="9" t="s">
        <v>14</v>
      </c>
      <c r="B5" s="9"/>
      <c r="C5" s="18" t="n">
        <v>45559</v>
      </c>
      <c r="D5" s="18"/>
      <c r="E5" s="18"/>
      <c r="F5" s="19" t="s">
        <v>15</v>
      </c>
      <c r="G5" s="19"/>
      <c r="H5" s="20" t="s">
        <v>16</v>
      </c>
      <c r="I5" s="20"/>
      <c r="J5" s="21" t="s">
        <v>17</v>
      </c>
      <c r="K5" s="21"/>
      <c r="L5" s="21"/>
    </row>
    <row r="6" customFormat="false" ht="22.5" hidden="false" customHeight="true" outlineLevel="0" collapsed="false">
      <c r="A6" s="9"/>
      <c r="B6" s="9"/>
      <c r="C6" s="22" t="n">
        <v>45565</v>
      </c>
      <c r="D6" s="22"/>
      <c r="E6" s="22"/>
      <c r="F6" s="23" t="s">
        <v>18</v>
      </c>
      <c r="G6" s="24"/>
      <c r="H6" s="20"/>
      <c r="I6" s="20"/>
      <c r="J6" s="21"/>
      <c r="K6" s="21"/>
      <c r="L6" s="21"/>
    </row>
    <row r="7" customFormat="false" ht="22.5" hidden="false" customHeight="true" outlineLevel="0" collapsed="false">
      <c r="A7" s="9"/>
      <c r="B7" s="9"/>
      <c r="C7" s="25" t="s">
        <v>19</v>
      </c>
      <c r="D7" s="25"/>
      <c r="E7" s="25"/>
      <c r="F7" s="25"/>
      <c r="G7" s="25"/>
      <c r="H7" s="20"/>
      <c r="I7" s="20"/>
      <c r="J7" s="21"/>
      <c r="K7" s="21"/>
      <c r="L7" s="21"/>
    </row>
    <row r="8" customFormat="false" ht="7.5" hidden="false" customHeight="true" outlineLevel="0" collapsed="false">
      <c r="A8" s="26"/>
      <c r="L8" s="27"/>
    </row>
    <row r="9" customFormat="false" ht="28.5" hidden="false" customHeight="true" outlineLevel="0" collapsed="false">
      <c r="A9" s="28" t="s">
        <v>20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</row>
    <row r="10" customFormat="false" ht="18" hidden="false" customHeight="true" outlineLevel="0" collapsed="false">
      <c r="A10" s="29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</row>
    <row r="11" customFormat="false" ht="18" hidden="false" customHeight="true" outlineLevel="0" collapsed="false">
      <c r="A11" s="30" t="s">
        <v>22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</row>
    <row r="12" customFormat="false" ht="28.5" hidden="false" customHeight="true" outlineLevel="0" collapsed="false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</row>
    <row r="13" customFormat="false" ht="28.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</row>
    <row r="14" customFormat="false" ht="28.5" hidden="false" customHeight="true" outlineLevel="0" collapsed="false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</row>
    <row r="15" customFormat="false" ht="7.5" hidden="false" customHeight="true" outlineLevel="0" collapsed="false">
      <c r="A15" s="26"/>
      <c r="L15" s="27"/>
    </row>
    <row r="16" customFormat="false" ht="25.5" hidden="false" customHeight="true" outlineLevel="0" collapsed="false">
      <c r="A16" s="32" t="s">
        <v>23</v>
      </c>
      <c r="B16" s="32"/>
      <c r="C16" s="33" t="s">
        <v>24</v>
      </c>
      <c r="D16" s="33"/>
      <c r="E16" s="33"/>
      <c r="F16" s="33"/>
      <c r="G16" s="33"/>
      <c r="H16" s="34" t="s">
        <v>25</v>
      </c>
      <c r="I16" s="34"/>
      <c r="J16" s="34"/>
      <c r="K16" s="34"/>
      <c r="L16" s="34"/>
    </row>
    <row r="17" customFormat="false" ht="25.5" hidden="false" customHeight="true" outlineLevel="0" collapsed="false">
      <c r="A17" s="32"/>
      <c r="B17" s="32"/>
      <c r="C17" s="35" t="s">
        <v>26</v>
      </c>
      <c r="D17" s="35"/>
      <c r="E17" s="35" t="s">
        <v>27</v>
      </c>
      <c r="F17" s="35" t="s">
        <v>28</v>
      </c>
      <c r="G17" s="33" t="s">
        <v>29</v>
      </c>
      <c r="H17" s="32" t="s">
        <v>29</v>
      </c>
      <c r="I17" s="36" t="s">
        <v>30</v>
      </c>
      <c r="J17" s="36"/>
      <c r="K17" s="36"/>
      <c r="L17" s="36"/>
    </row>
    <row r="18" customFormat="false" ht="25.5" hidden="false" customHeight="true" outlineLevel="0" collapsed="false">
      <c r="A18" s="37" t="s">
        <v>31</v>
      </c>
      <c r="B18" s="37"/>
      <c r="C18" s="38" t="s">
        <v>32</v>
      </c>
      <c r="D18" s="38"/>
      <c r="E18" s="39" t="s">
        <v>33</v>
      </c>
      <c r="F18" s="40"/>
      <c r="G18" s="41"/>
      <c r="H18" s="42"/>
      <c r="I18" s="43"/>
      <c r="J18" s="43"/>
      <c r="K18" s="43"/>
      <c r="L18" s="43"/>
    </row>
    <row r="19" customFormat="false" ht="25.5" hidden="false" customHeight="true" outlineLevel="0" collapsed="false">
      <c r="A19" s="37"/>
      <c r="B19" s="37"/>
      <c r="C19" s="38" t="s">
        <v>34</v>
      </c>
      <c r="D19" s="38"/>
      <c r="E19" s="39" t="s">
        <v>33</v>
      </c>
      <c r="F19" s="40"/>
      <c r="G19" s="41"/>
      <c r="H19" s="42"/>
      <c r="I19" s="43"/>
      <c r="J19" s="43"/>
      <c r="K19" s="43"/>
      <c r="L19" s="43"/>
    </row>
    <row r="20" customFormat="false" ht="25.5" hidden="false" customHeight="true" outlineLevel="0" collapsed="false">
      <c r="A20" s="37"/>
      <c r="B20" s="37"/>
      <c r="C20" s="38" t="s">
        <v>35</v>
      </c>
      <c r="D20" s="38"/>
      <c r="E20" s="39" t="s">
        <v>33</v>
      </c>
      <c r="F20" s="40"/>
      <c r="G20" s="41"/>
      <c r="H20" s="42"/>
      <c r="I20" s="43"/>
      <c r="J20" s="43"/>
      <c r="K20" s="43"/>
      <c r="L20" s="43"/>
    </row>
    <row r="21" customFormat="false" ht="25.5" hidden="false" customHeight="true" outlineLevel="0" collapsed="false">
      <c r="A21" s="37"/>
      <c r="B21" s="37"/>
      <c r="C21" s="44" t="s">
        <v>36</v>
      </c>
      <c r="D21" s="44"/>
      <c r="E21" s="44"/>
      <c r="F21" s="45"/>
      <c r="G21" s="46"/>
      <c r="H21" s="47" t="n">
        <f aca="false">SUM(H18:H20)</f>
        <v>0</v>
      </c>
      <c r="I21" s="48"/>
      <c r="J21" s="48"/>
      <c r="K21" s="48"/>
      <c r="L21" s="48"/>
    </row>
    <row r="22" customFormat="false" ht="25.5" hidden="false" customHeight="true" outlineLevel="0" collapsed="false">
      <c r="A22" s="49" t="s">
        <v>37</v>
      </c>
      <c r="B22" s="49"/>
      <c r="C22" s="39" t="s">
        <v>38</v>
      </c>
      <c r="D22" s="39"/>
      <c r="E22" s="39" t="s">
        <v>33</v>
      </c>
      <c r="F22" s="50"/>
      <c r="G22" s="51"/>
      <c r="H22" s="42"/>
      <c r="I22" s="43"/>
      <c r="J22" s="43"/>
      <c r="K22" s="43"/>
      <c r="L22" s="43"/>
    </row>
    <row r="23" customFormat="false" ht="25.5" hidden="false" customHeight="true" outlineLevel="0" collapsed="false">
      <c r="A23" s="49"/>
      <c r="B23" s="49"/>
      <c r="C23" s="39" t="s">
        <v>39</v>
      </c>
      <c r="D23" s="39"/>
      <c r="E23" s="39" t="s">
        <v>33</v>
      </c>
      <c r="F23" s="50"/>
      <c r="G23" s="51"/>
      <c r="H23" s="52"/>
      <c r="I23" s="53"/>
      <c r="J23" s="53"/>
      <c r="K23" s="53"/>
      <c r="L23" s="53"/>
    </row>
    <row r="24" customFormat="false" ht="25.5" hidden="false" customHeight="true" outlineLevel="0" collapsed="false">
      <c r="A24" s="49"/>
      <c r="B24" s="49"/>
      <c r="C24" s="39" t="s">
        <v>40</v>
      </c>
      <c r="D24" s="39"/>
      <c r="E24" s="39" t="s">
        <v>33</v>
      </c>
      <c r="F24" s="50"/>
      <c r="G24" s="51"/>
      <c r="H24" s="52"/>
      <c r="I24" s="53"/>
      <c r="J24" s="53"/>
      <c r="K24" s="53"/>
      <c r="L24" s="53"/>
    </row>
    <row r="25" customFormat="false" ht="25.5" hidden="false" customHeight="true" outlineLevel="0" collapsed="false">
      <c r="A25" s="49"/>
      <c r="B25" s="49"/>
      <c r="C25" s="44" t="s">
        <v>36</v>
      </c>
      <c r="D25" s="44"/>
      <c r="E25" s="44"/>
      <c r="F25" s="45"/>
      <c r="G25" s="46"/>
      <c r="H25" s="47" t="n">
        <f aca="false">SUM(H22:H24)</f>
        <v>0</v>
      </c>
      <c r="I25" s="48"/>
      <c r="J25" s="48"/>
      <c r="K25" s="48"/>
      <c r="L25" s="48"/>
    </row>
    <row r="26" customFormat="false" ht="25.5" hidden="false" customHeight="true" outlineLevel="0" collapsed="false">
      <c r="A26" s="37" t="s">
        <v>41</v>
      </c>
      <c r="B26" s="37"/>
      <c r="C26" s="38" t="s">
        <v>42</v>
      </c>
      <c r="D26" s="38"/>
      <c r="E26" s="38" t="n">
        <v>70000</v>
      </c>
      <c r="F26" s="50" t="n">
        <v>0</v>
      </c>
      <c r="G26" s="41" t="n">
        <f aca="false">E26*F26</f>
        <v>0</v>
      </c>
      <c r="H26" s="42"/>
      <c r="I26" s="43"/>
      <c r="J26" s="43"/>
      <c r="K26" s="43"/>
      <c r="L26" s="43"/>
    </row>
    <row r="27" customFormat="false" ht="25.5" hidden="false" customHeight="true" outlineLevel="0" collapsed="false">
      <c r="A27" s="37"/>
      <c r="B27" s="37"/>
      <c r="C27" s="38" t="s">
        <v>43</v>
      </c>
      <c r="D27" s="38"/>
      <c r="E27" s="38" t="n">
        <v>60000</v>
      </c>
      <c r="F27" s="50" t="n">
        <v>0</v>
      </c>
      <c r="G27" s="41" t="n">
        <f aca="false">E27*F27</f>
        <v>0</v>
      </c>
      <c r="H27" s="42"/>
      <c r="I27" s="43"/>
      <c r="J27" s="43"/>
      <c r="K27" s="43"/>
      <c r="L27" s="43"/>
    </row>
    <row r="28" customFormat="false" ht="25.5" hidden="false" customHeight="true" outlineLevel="0" collapsed="false">
      <c r="A28" s="37"/>
      <c r="B28" s="37"/>
      <c r="C28" s="38" t="s">
        <v>44</v>
      </c>
      <c r="D28" s="38"/>
      <c r="E28" s="38" t="n">
        <v>50000</v>
      </c>
      <c r="F28" s="50" t="n">
        <v>0</v>
      </c>
      <c r="G28" s="41" t="n">
        <f aca="false">E28*F28</f>
        <v>0</v>
      </c>
      <c r="H28" s="42"/>
      <c r="I28" s="43"/>
      <c r="J28" s="43"/>
      <c r="K28" s="43"/>
      <c r="L28" s="43"/>
    </row>
    <row r="29" customFormat="false" ht="25.5" hidden="false" customHeight="true" outlineLevel="0" collapsed="false">
      <c r="A29" s="37"/>
      <c r="B29" s="37"/>
      <c r="C29" s="44" t="s">
        <v>36</v>
      </c>
      <c r="D29" s="44"/>
      <c r="E29" s="44"/>
      <c r="F29" s="45"/>
      <c r="G29" s="46" t="n">
        <f aca="false">SUM(G26:G28)</f>
        <v>0</v>
      </c>
      <c r="H29" s="47" t="n">
        <f aca="false">SUM(H26:H28)</f>
        <v>0</v>
      </c>
      <c r="I29" s="48"/>
      <c r="J29" s="48"/>
      <c r="K29" s="48"/>
      <c r="L29" s="48"/>
    </row>
    <row r="30" customFormat="false" ht="25.5" hidden="false" customHeight="true" outlineLevel="0" collapsed="false">
      <c r="A30" s="37"/>
      <c r="B30" s="37"/>
      <c r="C30" s="54" t="s">
        <v>45</v>
      </c>
      <c r="D30" s="54"/>
      <c r="E30" s="55"/>
      <c r="F30" s="56"/>
      <c r="G30" s="57"/>
      <c r="H30" s="58" t="n">
        <f aca="false">G29-H29</f>
        <v>0</v>
      </c>
      <c r="I30" s="59" t="s">
        <v>46</v>
      </c>
      <c r="J30" s="59"/>
      <c r="K30" s="59"/>
      <c r="L30" s="59"/>
    </row>
    <row r="31" customFormat="false" ht="25.5" hidden="false" customHeight="true" outlineLevel="0" collapsed="false">
      <c r="A31" s="37"/>
      <c r="B31" s="37"/>
      <c r="C31" s="60" t="s">
        <v>47</v>
      </c>
      <c r="D31" s="60"/>
      <c r="E31" s="60"/>
      <c r="F31" s="60"/>
      <c r="G31" s="60"/>
      <c r="H31" s="61"/>
      <c r="I31" s="62"/>
      <c r="J31" s="62"/>
      <c r="K31" s="62"/>
      <c r="L31" s="62"/>
    </row>
    <row r="32" customFormat="false" ht="25.5" hidden="false" customHeight="true" outlineLevel="0" collapsed="false">
      <c r="A32" s="37"/>
      <c r="B32" s="37"/>
      <c r="C32" s="60" t="s">
        <v>48</v>
      </c>
      <c r="D32" s="60"/>
      <c r="E32" s="60"/>
      <c r="F32" s="60"/>
      <c r="G32" s="60"/>
      <c r="H32" s="61"/>
      <c r="I32" s="62"/>
      <c r="J32" s="62"/>
      <c r="K32" s="62"/>
      <c r="L32" s="62"/>
    </row>
    <row r="33" customFormat="false" ht="25.5" hidden="false" customHeight="true" outlineLevel="0" collapsed="false">
      <c r="A33" s="63" t="s">
        <v>49</v>
      </c>
      <c r="B33" s="63"/>
      <c r="C33" s="39" t="s">
        <v>50</v>
      </c>
      <c r="D33" s="39"/>
      <c r="E33" s="38" t="n">
        <v>35000</v>
      </c>
      <c r="F33" s="50"/>
      <c r="G33" s="64"/>
      <c r="H33" s="42"/>
      <c r="I33" s="43"/>
      <c r="J33" s="43"/>
      <c r="K33" s="43"/>
      <c r="L33" s="43"/>
    </row>
    <row r="34" customFormat="false" ht="25.5" hidden="false" customHeight="true" outlineLevel="0" collapsed="false">
      <c r="A34" s="63"/>
      <c r="B34" s="63"/>
      <c r="C34" s="39" t="s">
        <v>51</v>
      </c>
      <c r="D34" s="39"/>
      <c r="E34" s="38" t="n">
        <v>30000</v>
      </c>
      <c r="F34" s="50"/>
      <c r="G34" s="64"/>
      <c r="H34" s="42"/>
      <c r="I34" s="43"/>
      <c r="J34" s="43"/>
      <c r="K34" s="43"/>
      <c r="L34" s="43"/>
    </row>
    <row r="35" customFormat="false" ht="25.5" hidden="false" customHeight="true" outlineLevel="0" collapsed="false">
      <c r="A35" s="63"/>
      <c r="B35" s="63"/>
      <c r="C35" s="65" t="s">
        <v>36</v>
      </c>
      <c r="D35" s="65"/>
      <c r="E35" s="66"/>
      <c r="F35" s="67"/>
      <c r="G35" s="67"/>
      <c r="H35" s="68" t="n">
        <f aca="false">SUM(H33:H34)</f>
        <v>0</v>
      </c>
      <c r="I35" s="69"/>
      <c r="J35" s="69"/>
      <c r="K35" s="69"/>
      <c r="L35" s="69"/>
    </row>
    <row r="36" customFormat="false" ht="25.5" hidden="false" customHeight="true" outlineLevel="0" collapsed="false">
      <c r="A36" s="63"/>
      <c r="B36" s="63"/>
      <c r="C36" s="70" t="s">
        <v>52</v>
      </c>
      <c r="D36" s="70"/>
      <c r="E36" s="70"/>
      <c r="F36" s="70"/>
      <c r="G36" s="70"/>
      <c r="H36" s="42"/>
      <c r="I36" s="43"/>
      <c r="J36" s="43"/>
      <c r="K36" s="43"/>
      <c r="L36" s="43"/>
    </row>
    <row r="37" customFormat="false" ht="25.5" hidden="false" customHeight="true" outlineLevel="0" collapsed="false">
      <c r="A37" s="63"/>
      <c r="B37" s="63"/>
      <c r="C37" s="71" t="s">
        <v>53</v>
      </c>
      <c r="D37" s="71"/>
      <c r="E37" s="71"/>
      <c r="F37" s="71"/>
      <c r="G37" s="71"/>
      <c r="H37" s="72" t="s">
        <v>54</v>
      </c>
      <c r="I37" s="73"/>
      <c r="J37" s="73"/>
      <c r="K37" s="73"/>
      <c r="L37" s="73"/>
    </row>
    <row r="38" customFormat="false" ht="25.5" hidden="false" customHeight="true" outlineLevel="0" collapsed="false">
      <c r="A38" s="49" t="s">
        <v>55</v>
      </c>
      <c r="B38" s="49"/>
      <c r="C38" s="39" t="s">
        <v>56</v>
      </c>
      <c r="D38" s="39"/>
      <c r="E38" s="38" t="s">
        <v>33</v>
      </c>
      <c r="F38" s="50"/>
      <c r="G38" s="51"/>
      <c r="H38" s="42"/>
      <c r="I38" s="43"/>
      <c r="J38" s="43"/>
      <c r="K38" s="43"/>
      <c r="L38" s="43"/>
    </row>
    <row r="39" customFormat="false" ht="25.5" hidden="false" customHeight="true" outlineLevel="0" collapsed="false">
      <c r="A39" s="49"/>
      <c r="B39" s="49"/>
      <c r="C39" s="39" t="s">
        <v>57</v>
      </c>
      <c r="D39" s="39"/>
      <c r="E39" s="38" t="s">
        <v>33</v>
      </c>
      <c r="F39" s="50"/>
      <c r="G39" s="51"/>
      <c r="H39" s="42"/>
      <c r="I39" s="43"/>
      <c r="J39" s="43"/>
      <c r="K39" s="43"/>
      <c r="L39" s="43"/>
    </row>
    <row r="40" customFormat="false" ht="25.5" hidden="false" customHeight="true" outlineLevel="0" collapsed="false">
      <c r="A40" s="49"/>
      <c r="B40" s="49"/>
      <c r="C40" s="74" t="s">
        <v>58</v>
      </c>
      <c r="D40" s="74"/>
      <c r="E40" s="75" t="s">
        <v>59</v>
      </c>
      <c r="F40" s="76" t="s">
        <v>60</v>
      </c>
      <c r="G40" s="77" t="s">
        <v>61</v>
      </c>
      <c r="H40" s="42"/>
      <c r="I40" s="43"/>
      <c r="J40" s="43"/>
      <c r="K40" s="43"/>
      <c r="L40" s="43"/>
    </row>
    <row r="41" customFormat="false" ht="25.5" hidden="false" customHeight="true" outlineLevel="0" collapsed="false">
      <c r="A41" s="49"/>
      <c r="B41" s="49"/>
      <c r="C41" s="74"/>
      <c r="D41" s="74"/>
      <c r="E41" s="38"/>
      <c r="F41" s="50"/>
      <c r="G41" s="51"/>
      <c r="H41" s="42"/>
      <c r="I41" s="43"/>
      <c r="J41" s="43"/>
      <c r="K41" s="43"/>
      <c r="L41" s="43"/>
    </row>
    <row r="42" customFormat="false" ht="25.5" hidden="false" customHeight="true" outlineLevel="0" collapsed="false">
      <c r="A42" s="49"/>
      <c r="B42" s="49"/>
      <c r="C42" s="70" t="s">
        <v>62</v>
      </c>
      <c r="D42" s="70"/>
      <c r="E42" s="70"/>
      <c r="F42" s="70"/>
      <c r="G42" s="70"/>
      <c r="H42" s="78"/>
      <c r="I42" s="79"/>
      <c r="J42" s="79"/>
      <c r="K42" s="79"/>
      <c r="L42" s="79"/>
    </row>
    <row r="43" customFormat="false" ht="25.5" hidden="false" customHeight="true" outlineLevel="0" collapsed="false">
      <c r="A43" s="49"/>
      <c r="B43" s="49"/>
      <c r="C43" s="71" t="s">
        <v>63</v>
      </c>
      <c r="D43" s="71"/>
      <c r="E43" s="71"/>
      <c r="F43" s="71"/>
      <c r="G43" s="71"/>
      <c r="H43" s="72" t="s">
        <v>54</v>
      </c>
      <c r="I43" s="73"/>
      <c r="J43" s="73"/>
      <c r="K43" s="73"/>
      <c r="L43" s="73"/>
    </row>
    <row r="44" customFormat="false" ht="25.5" hidden="false" customHeight="true" outlineLevel="0" collapsed="false">
      <c r="A44" s="49"/>
      <c r="B44" s="49"/>
      <c r="C44" s="70" t="s">
        <v>64</v>
      </c>
      <c r="D44" s="70"/>
      <c r="E44" s="70"/>
      <c r="F44" s="70"/>
      <c r="G44" s="70"/>
      <c r="H44" s="78"/>
      <c r="I44" s="79"/>
      <c r="J44" s="79"/>
      <c r="K44" s="79"/>
      <c r="L44" s="79"/>
    </row>
    <row r="45" customFormat="false" ht="25.5" hidden="false" customHeight="true" outlineLevel="0" collapsed="false">
      <c r="A45" s="49"/>
      <c r="B45" s="49"/>
      <c r="C45" s="44" t="s">
        <v>36</v>
      </c>
      <c r="D45" s="44"/>
      <c r="E45" s="44"/>
      <c r="F45" s="45"/>
      <c r="G45" s="46"/>
      <c r="H45" s="47" t="n">
        <f aca="false">SUM(H38:H44)</f>
        <v>0</v>
      </c>
      <c r="I45" s="48"/>
      <c r="J45" s="48"/>
      <c r="K45" s="48"/>
      <c r="L45" s="48"/>
    </row>
    <row r="46" customFormat="false" ht="25.5" hidden="false" customHeight="true" outlineLevel="0" collapsed="false">
      <c r="A46" s="80" t="s">
        <v>65</v>
      </c>
      <c r="B46" s="80"/>
      <c r="C46" s="81" t="s">
        <v>66</v>
      </c>
      <c r="D46" s="81"/>
      <c r="E46" s="81"/>
      <c r="F46" s="81"/>
      <c r="G46" s="81"/>
      <c r="H46" s="82" t="n">
        <f aca="false">H21+H25+G29+G35+H45</f>
        <v>0</v>
      </c>
      <c r="I46" s="83"/>
      <c r="J46" s="83"/>
      <c r="K46" s="83"/>
      <c r="L46" s="83"/>
    </row>
    <row r="47" customFormat="false" ht="25.5" hidden="false" customHeight="true" outlineLevel="0" collapsed="false">
      <c r="A47" s="80"/>
      <c r="B47" s="80"/>
      <c r="C47" s="84" t="s">
        <v>67</v>
      </c>
      <c r="D47" s="84"/>
      <c r="E47" s="84"/>
      <c r="F47" s="84"/>
      <c r="G47" s="84"/>
      <c r="H47" s="85" t="n">
        <f aca="false">H30</f>
        <v>0</v>
      </c>
      <c r="I47" s="86" t="s">
        <v>45</v>
      </c>
      <c r="J47" s="86"/>
      <c r="K47" s="86"/>
      <c r="L47" s="86"/>
    </row>
    <row r="48" customFormat="false" ht="25.5" hidden="false" customHeight="true" outlineLevel="0" collapsed="false">
      <c r="A48" s="80"/>
      <c r="B48" s="80"/>
      <c r="C48" s="87" t="s">
        <v>68</v>
      </c>
      <c r="D48" s="87"/>
      <c r="E48" s="87"/>
      <c r="F48" s="87"/>
      <c r="G48" s="87"/>
      <c r="H48" s="88" t="n">
        <f aca="false">G35+H41</f>
        <v>0</v>
      </c>
      <c r="I48" s="89" t="s">
        <v>69</v>
      </c>
      <c r="J48" s="89"/>
      <c r="K48" s="89"/>
      <c r="L48" s="89"/>
    </row>
    <row r="49" customFormat="false" ht="7.5" hidden="false" customHeight="true" outlineLevel="0" collapsed="false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</row>
    <row r="50" customFormat="false" ht="24" hidden="false" customHeight="true" outlineLevel="0" collapsed="false">
      <c r="A50" s="3" t="s">
        <v>70</v>
      </c>
      <c r="B50" s="4" t="s">
        <v>2</v>
      </c>
      <c r="C50" s="4" t="s">
        <v>3</v>
      </c>
      <c r="D50" s="5" t="s">
        <v>4</v>
      </c>
      <c r="E50" s="24"/>
      <c r="F50" s="24"/>
      <c r="G50" s="24"/>
      <c r="H50" s="24"/>
      <c r="I50" s="24"/>
      <c r="J50" s="24"/>
      <c r="K50" s="90" t="s">
        <v>3</v>
      </c>
      <c r="L50" s="5" t="s">
        <v>4</v>
      </c>
    </row>
    <row r="51" customFormat="false" ht="120" hidden="false" customHeight="true" outlineLevel="0" collapsed="false">
      <c r="A51" s="3"/>
      <c r="B51" s="7"/>
      <c r="C51" s="7"/>
      <c r="D51" s="8"/>
      <c r="E51" s="24"/>
      <c r="F51" s="24"/>
      <c r="G51" s="24"/>
      <c r="H51" s="24"/>
      <c r="I51" s="24"/>
      <c r="J51" s="24"/>
      <c r="K51" s="91"/>
      <c r="L51" s="8"/>
    </row>
    <row r="52" customFormat="false" ht="24" hidden="false" customHeight="true" outlineLevel="0" collapsed="false">
      <c r="A52" s="3"/>
      <c r="B52" s="12" t="s">
        <v>9</v>
      </c>
      <c r="C52" s="13" t="s">
        <v>9</v>
      </c>
      <c r="D52" s="14" t="s">
        <v>9</v>
      </c>
      <c r="E52" s="24"/>
      <c r="F52" s="24"/>
      <c r="G52" s="24"/>
      <c r="H52" s="24"/>
      <c r="I52" s="24"/>
      <c r="J52" s="24"/>
      <c r="K52" s="92" t="s">
        <v>9</v>
      </c>
      <c r="L52" s="14" t="s">
        <v>9</v>
      </c>
    </row>
    <row r="53" customFormat="false" ht="15.75" hidden="false" customHeight="false" outlineLevel="0" collapsed="false">
      <c r="A53" s="93" t="s">
        <v>71</v>
      </c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3"/>
    </row>
  </sheetData>
  <mergeCells count="95">
    <mergeCell ref="A1:H2"/>
    <mergeCell ref="I1:I3"/>
    <mergeCell ref="A3:B3"/>
    <mergeCell ref="C3:D3"/>
    <mergeCell ref="E3:F3"/>
    <mergeCell ref="G3:H3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18:B21"/>
    <mergeCell ref="C18:D18"/>
    <mergeCell ref="I18:L18"/>
    <mergeCell ref="C19:D19"/>
    <mergeCell ref="I19:L19"/>
    <mergeCell ref="C20:D20"/>
    <mergeCell ref="I20:L20"/>
    <mergeCell ref="C21:D21"/>
    <mergeCell ref="I21:L21"/>
    <mergeCell ref="A22:B25"/>
    <mergeCell ref="C22:D22"/>
    <mergeCell ref="I22:L22"/>
    <mergeCell ref="C23:D23"/>
    <mergeCell ref="I23:L23"/>
    <mergeCell ref="C24:D24"/>
    <mergeCell ref="I24:L24"/>
    <mergeCell ref="C25:D25"/>
    <mergeCell ref="I25:L25"/>
    <mergeCell ref="A26:B32"/>
    <mergeCell ref="C26:D26"/>
    <mergeCell ref="I26:L26"/>
    <mergeCell ref="C27:D27"/>
    <mergeCell ref="I27:L27"/>
    <mergeCell ref="C28:D28"/>
    <mergeCell ref="I28:L28"/>
    <mergeCell ref="C29:D29"/>
    <mergeCell ref="I29:L29"/>
    <mergeCell ref="C30:D30"/>
    <mergeCell ref="I30:L30"/>
    <mergeCell ref="C31:G31"/>
    <mergeCell ref="I31:L31"/>
    <mergeCell ref="C32:G32"/>
    <mergeCell ref="I32:L32"/>
    <mergeCell ref="A33:B37"/>
    <mergeCell ref="C33:D33"/>
    <mergeCell ref="I33:L33"/>
    <mergeCell ref="C34:D34"/>
    <mergeCell ref="I34:L34"/>
    <mergeCell ref="C35:D35"/>
    <mergeCell ref="I35:L35"/>
    <mergeCell ref="C36:G36"/>
    <mergeCell ref="I36:L36"/>
    <mergeCell ref="C37:G37"/>
    <mergeCell ref="I37:L37"/>
    <mergeCell ref="A38:B45"/>
    <mergeCell ref="C38:D38"/>
    <mergeCell ref="I38:L38"/>
    <mergeCell ref="C39:D39"/>
    <mergeCell ref="I39:L39"/>
    <mergeCell ref="C40:D41"/>
    <mergeCell ref="I40:L40"/>
    <mergeCell ref="I41:L41"/>
    <mergeCell ref="C42:G42"/>
    <mergeCell ref="I42:L42"/>
    <mergeCell ref="C43:G43"/>
    <mergeCell ref="I43:L43"/>
    <mergeCell ref="C44:G44"/>
    <mergeCell ref="I44:L44"/>
    <mergeCell ref="C45:D45"/>
    <mergeCell ref="I45:L45"/>
    <mergeCell ref="A46:B48"/>
    <mergeCell ref="C46:G46"/>
    <mergeCell ref="I46:L46"/>
    <mergeCell ref="C47:G47"/>
    <mergeCell ref="I47:L47"/>
    <mergeCell ref="C48:G48"/>
    <mergeCell ref="I48:L48"/>
    <mergeCell ref="A50:A52"/>
    <mergeCell ref="A53:L53"/>
  </mergeCells>
  <printOptions headings="false" gridLines="false" gridLinesSet="true" horizontalCentered="true" verticalCentered="true"/>
  <pageMargins left="0.25" right="0.2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3"/>
  <sheetViews>
    <sheetView showFormulas="false" showGridLines="true" showRowColHeaders="true" showZeros="true" rightToLeft="false" tabSelected="true" showOutlineSymbols="true" defaultGridColor="true" view="normal" topLeftCell="A17" colorId="64" zoomScale="90" zoomScaleNormal="90" zoomScalePageLayoutView="75" workbookViewId="0">
      <selection pane="topLeft" activeCell="H18" activeCellId="0" sqref="H18"/>
    </sheetView>
  </sheetViews>
  <sheetFormatPr defaultColWidth="10.71484375" defaultRowHeight="18" customHeight="true" zeroHeight="false" outlineLevelRow="0" outlineLevelCol="0"/>
  <cols>
    <col collapsed="false" customWidth="true" hidden="false" outlineLevel="0" max="1" min="1" style="1" width="5.57"/>
    <col collapsed="false" customWidth="true" hidden="false" outlineLevel="0" max="4" min="2" style="1" width="14.42"/>
    <col collapsed="false" customWidth="true" hidden="false" outlineLevel="0" max="5" min="5" style="1" width="12.42"/>
    <col collapsed="false" customWidth="true" hidden="false" outlineLevel="0" max="6" min="6" style="1" width="10.29"/>
    <col collapsed="false" customWidth="true" hidden="false" outlineLevel="0" max="7" min="7" style="1" width="12.42"/>
    <col collapsed="false" customWidth="true" hidden="false" outlineLevel="0" max="8" min="8" style="1" width="13.71"/>
    <col collapsed="false" customWidth="true" hidden="false" outlineLevel="0" max="9" min="9" style="1" width="5.57"/>
    <col collapsed="false" customWidth="true" hidden="false" outlineLevel="0" max="12" min="10" style="1" width="14.42"/>
    <col collapsed="false" customWidth="false" hidden="false" outlineLevel="0" max="16384" min="13" style="1" width="10.71"/>
  </cols>
  <sheetData>
    <row r="1" customFormat="false" ht="24" hidden="false" customHeight="true" outlineLevel="0" collapsed="false">
      <c r="A1" s="2" t="s">
        <v>72</v>
      </c>
      <c r="B1" s="2"/>
      <c r="C1" s="2"/>
      <c r="D1" s="2"/>
      <c r="E1" s="2"/>
      <c r="F1" s="2"/>
      <c r="G1" s="2"/>
      <c r="H1" s="2"/>
      <c r="I1" s="3" t="s">
        <v>1</v>
      </c>
      <c r="J1" s="4" t="s">
        <v>2</v>
      </c>
      <c r="K1" s="4" t="s">
        <v>3</v>
      </c>
      <c r="L1" s="5" t="s">
        <v>4</v>
      </c>
      <c r="M1" s="6"/>
    </row>
    <row r="2" customFormat="false" ht="120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3"/>
      <c r="J2" s="7"/>
      <c r="K2" s="7"/>
      <c r="L2" s="8"/>
      <c r="M2" s="6"/>
    </row>
    <row r="3" customFormat="false" ht="28.5" hidden="false" customHeight="true" outlineLevel="0" collapsed="false">
      <c r="A3" s="9" t="s">
        <v>5</v>
      </c>
      <c r="B3" s="9"/>
      <c r="C3" s="10" t="s">
        <v>6</v>
      </c>
      <c r="D3" s="10"/>
      <c r="E3" s="11" t="s">
        <v>7</v>
      </c>
      <c r="F3" s="11"/>
      <c r="G3" s="10" t="s">
        <v>8</v>
      </c>
      <c r="H3" s="10"/>
      <c r="I3" s="3"/>
      <c r="J3" s="12" t="s">
        <v>9</v>
      </c>
      <c r="K3" s="13" t="s">
        <v>9</v>
      </c>
      <c r="L3" s="14" t="s">
        <v>9</v>
      </c>
    </row>
    <row r="4" customFormat="false" ht="28.5" hidden="false" customHeight="true" outlineLevel="0" collapsed="false">
      <c r="A4" s="15" t="s">
        <v>10</v>
      </c>
      <c r="B4" s="15"/>
      <c r="C4" s="16" t="s">
        <v>11</v>
      </c>
      <c r="D4" s="16"/>
      <c r="E4" s="16"/>
      <c r="F4" s="16"/>
      <c r="G4" s="16"/>
      <c r="H4" s="11" t="s">
        <v>12</v>
      </c>
      <c r="I4" s="11"/>
      <c r="J4" s="17" t="s">
        <v>13</v>
      </c>
      <c r="K4" s="17"/>
      <c r="L4" s="17"/>
    </row>
    <row r="5" customFormat="false" ht="22.5" hidden="false" customHeight="true" outlineLevel="0" collapsed="false">
      <c r="A5" s="9" t="s">
        <v>14</v>
      </c>
      <c r="B5" s="9"/>
      <c r="C5" s="18" t="n">
        <v>45559</v>
      </c>
      <c r="D5" s="18"/>
      <c r="E5" s="18"/>
      <c r="F5" s="19" t="s">
        <v>15</v>
      </c>
      <c r="G5" s="19"/>
      <c r="H5" s="20" t="s">
        <v>16</v>
      </c>
      <c r="I5" s="20"/>
      <c r="J5" s="21" t="s">
        <v>17</v>
      </c>
      <c r="K5" s="21"/>
      <c r="L5" s="21"/>
    </row>
    <row r="6" customFormat="false" ht="22.5" hidden="false" customHeight="true" outlineLevel="0" collapsed="false">
      <c r="A6" s="9"/>
      <c r="B6" s="9"/>
      <c r="C6" s="22" t="n">
        <v>45565</v>
      </c>
      <c r="D6" s="22"/>
      <c r="E6" s="22"/>
      <c r="F6" s="23" t="s">
        <v>18</v>
      </c>
      <c r="G6" s="24"/>
      <c r="H6" s="20"/>
      <c r="I6" s="20"/>
      <c r="J6" s="21"/>
      <c r="K6" s="21"/>
      <c r="L6" s="21"/>
    </row>
    <row r="7" customFormat="false" ht="22.5" hidden="false" customHeight="true" outlineLevel="0" collapsed="false">
      <c r="A7" s="9"/>
      <c r="B7" s="9"/>
      <c r="C7" s="25" t="s">
        <v>19</v>
      </c>
      <c r="D7" s="25"/>
      <c r="E7" s="25"/>
      <c r="F7" s="25"/>
      <c r="G7" s="25"/>
      <c r="H7" s="20"/>
      <c r="I7" s="20"/>
      <c r="J7" s="21"/>
      <c r="K7" s="21"/>
      <c r="L7" s="21"/>
    </row>
    <row r="8" customFormat="false" ht="7.5" hidden="false" customHeight="true" outlineLevel="0" collapsed="false">
      <c r="A8" s="26"/>
      <c r="L8" s="27"/>
    </row>
    <row r="9" customFormat="false" ht="28.5" hidden="false" customHeight="true" outlineLevel="0" collapsed="false">
      <c r="A9" s="28" t="s">
        <v>20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</row>
    <row r="10" customFormat="false" ht="18" hidden="false" customHeight="true" outlineLevel="0" collapsed="false">
      <c r="A10" s="29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</row>
    <row r="11" customFormat="false" ht="18" hidden="false" customHeight="true" outlineLevel="0" collapsed="false">
      <c r="A11" s="30" t="s">
        <v>22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</row>
    <row r="12" customFormat="false" ht="28.5" hidden="false" customHeight="true" outlineLevel="0" collapsed="false">
      <c r="A12" s="94"/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</row>
    <row r="13" customFormat="false" ht="28.5" hidden="false" customHeight="true" outlineLevel="0" collapsed="false">
      <c r="A13" s="94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</row>
    <row r="14" customFormat="false" ht="28.5" hidden="false" customHeight="true" outlineLevel="0" collapsed="false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</row>
    <row r="15" customFormat="false" ht="7.5" hidden="false" customHeight="true" outlineLevel="0" collapsed="false">
      <c r="A15" s="26"/>
      <c r="L15" s="27"/>
    </row>
    <row r="16" customFormat="false" ht="25.5" hidden="false" customHeight="true" outlineLevel="0" collapsed="false">
      <c r="A16" s="35" t="s">
        <v>23</v>
      </c>
      <c r="B16" s="35"/>
      <c r="C16" s="33" t="s">
        <v>24</v>
      </c>
      <c r="D16" s="33"/>
      <c r="E16" s="33"/>
      <c r="F16" s="33"/>
      <c r="G16" s="33"/>
      <c r="H16" s="34" t="s">
        <v>25</v>
      </c>
      <c r="I16" s="34"/>
      <c r="J16" s="34"/>
      <c r="K16" s="34"/>
      <c r="L16" s="34"/>
    </row>
    <row r="17" customFormat="false" ht="25.5" hidden="false" customHeight="true" outlineLevel="0" collapsed="false">
      <c r="A17" s="35"/>
      <c r="B17" s="35"/>
      <c r="C17" s="35" t="s">
        <v>26</v>
      </c>
      <c r="D17" s="35"/>
      <c r="E17" s="35" t="s">
        <v>27</v>
      </c>
      <c r="F17" s="35" t="s">
        <v>28</v>
      </c>
      <c r="G17" s="33" t="s">
        <v>73</v>
      </c>
      <c r="H17" s="95" t="s">
        <v>73</v>
      </c>
      <c r="I17" s="36" t="s">
        <v>30</v>
      </c>
      <c r="J17" s="36"/>
      <c r="K17" s="36"/>
      <c r="L17" s="36"/>
    </row>
    <row r="18" customFormat="false" ht="25.5" hidden="false" customHeight="true" outlineLevel="0" collapsed="false">
      <c r="A18" s="96" t="s">
        <v>31</v>
      </c>
      <c r="B18" s="96"/>
      <c r="C18" s="97" t="s">
        <v>32</v>
      </c>
      <c r="D18" s="97"/>
      <c r="E18" s="38" t="s">
        <v>33</v>
      </c>
      <c r="F18" s="40"/>
      <c r="G18" s="41"/>
      <c r="H18" s="98"/>
      <c r="I18" s="99"/>
      <c r="J18" s="99"/>
      <c r="K18" s="99"/>
      <c r="L18" s="99"/>
    </row>
    <row r="19" customFormat="false" ht="25.5" hidden="false" customHeight="true" outlineLevel="0" collapsed="false">
      <c r="A19" s="96"/>
      <c r="B19" s="96"/>
      <c r="C19" s="97" t="s">
        <v>74</v>
      </c>
      <c r="D19" s="97"/>
      <c r="E19" s="38" t="s">
        <v>33</v>
      </c>
      <c r="F19" s="40"/>
      <c r="G19" s="41"/>
      <c r="H19" s="98"/>
      <c r="I19" s="99"/>
      <c r="J19" s="99"/>
      <c r="K19" s="99"/>
      <c r="L19" s="99"/>
    </row>
    <row r="20" customFormat="false" ht="25.5" hidden="false" customHeight="true" outlineLevel="0" collapsed="false">
      <c r="A20" s="96"/>
      <c r="B20" s="96"/>
      <c r="C20" s="97" t="s">
        <v>75</v>
      </c>
      <c r="D20" s="97"/>
      <c r="E20" s="38" t="s">
        <v>33</v>
      </c>
      <c r="F20" s="40"/>
      <c r="G20" s="41"/>
      <c r="H20" s="98"/>
      <c r="I20" s="99"/>
      <c r="J20" s="99"/>
      <c r="K20" s="99"/>
      <c r="L20" s="99"/>
    </row>
    <row r="21" customFormat="false" ht="25.5" hidden="false" customHeight="true" outlineLevel="0" collapsed="false">
      <c r="A21" s="96"/>
      <c r="B21" s="96"/>
      <c r="C21" s="44" t="s">
        <v>76</v>
      </c>
      <c r="D21" s="44"/>
      <c r="E21" s="44"/>
      <c r="F21" s="45"/>
      <c r="G21" s="46"/>
      <c r="H21" s="100" t="n">
        <f aca="false">SUM(H18:H20)</f>
        <v>0</v>
      </c>
      <c r="I21" s="101"/>
      <c r="J21" s="102"/>
      <c r="K21" s="102"/>
      <c r="L21" s="103"/>
    </row>
    <row r="22" customFormat="false" ht="25.5" hidden="false" customHeight="true" outlineLevel="0" collapsed="false">
      <c r="A22" s="96"/>
      <c r="B22" s="96"/>
      <c r="C22" s="104" t="s">
        <v>77</v>
      </c>
      <c r="D22" s="104"/>
      <c r="E22" s="104"/>
      <c r="F22" s="104"/>
      <c r="G22" s="104"/>
      <c r="H22" s="42"/>
      <c r="I22" s="99"/>
      <c r="J22" s="99"/>
      <c r="K22" s="99"/>
      <c r="L22" s="99"/>
    </row>
    <row r="23" customFormat="false" ht="25.5" hidden="false" customHeight="true" outlineLevel="0" collapsed="false">
      <c r="A23" s="96"/>
      <c r="B23" s="96"/>
      <c r="C23" s="104" t="s">
        <v>78</v>
      </c>
      <c r="D23" s="104"/>
      <c r="E23" s="104"/>
      <c r="F23" s="104"/>
      <c r="G23" s="104"/>
      <c r="H23" s="42"/>
      <c r="I23" s="105"/>
      <c r="J23" s="105"/>
      <c r="K23" s="105"/>
      <c r="L23" s="105"/>
    </row>
    <row r="24" customFormat="false" ht="25.5" hidden="false" customHeight="true" outlineLevel="0" collapsed="false">
      <c r="A24" s="106" t="s">
        <v>37</v>
      </c>
      <c r="B24" s="106"/>
      <c r="C24" s="39" t="s">
        <v>38</v>
      </c>
      <c r="D24" s="39"/>
      <c r="E24" s="39" t="s">
        <v>33</v>
      </c>
      <c r="F24" s="50"/>
      <c r="G24" s="51"/>
      <c r="H24" s="98"/>
      <c r="I24" s="105"/>
      <c r="J24" s="105"/>
      <c r="K24" s="105"/>
      <c r="L24" s="105"/>
    </row>
    <row r="25" customFormat="false" ht="25.5" hidden="false" customHeight="true" outlineLevel="0" collapsed="false">
      <c r="A25" s="106"/>
      <c r="B25" s="106"/>
      <c r="C25" s="39" t="s">
        <v>79</v>
      </c>
      <c r="D25" s="39"/>
      <c r="E25" s="39" t="s">
        <v>33</v>
      </c>
      <c r="F25" s="50"/>
      <c r="G25" s="51"/>
      <c r="H25" s="98"/>
      <c r="I25" s="105"/>
      <c r="J25" s="105"/>
      <c r="K25" s="105"/>
      <c r="L25" s="105"/>
    </row>
    <row r="26" customFormat="false" ht="25.5" hidden="false" customHeight="true" outlineLevel="0" collapsed="false">
      <c r="A26" s="106"/>
      <c r="B26" s="106"/>
      <c r="C26" s="107" t="s">
        <v>80</v>
      </c>
      <c r="D26" s="107"/>
      <c r="E26" s="39" t="s">
        <v>33</v>
      </c>
      <c r="F26" s="50"/>
      <c r="G26" s="51"/>
      <c r="H26" s="98"/>
      <c r="I26" s="99"/>
      <c r="J26" s="99"/>
      <c r="K26" s="99"/>
      <c r="L26" s="99"/>
    </row>
    <row r="27" customFormat="false" ht="25.5" hidden="false" customHeight="true" outlineLevel="0" collapsed="false">
      <c r="A27" s="106"/>
      <c r="B27" s="106"/>
      <c r="C27" s="44" t="s">
        <v>76</v>
      </c>
      <c r="D27" s="44"/>
      <c r="E27" s="108"/>
      <c r="F27" s="44"/>
      <c r="G27" s="46"/>
      <c r="H27" s="109" t="n">
        <f aca="false">SUM(H24:H26)</f>
        <v>0</v>
      </c>
      <c r="I27" s="110"/>
      <c r="J27" s="110"/>
      <c r="K27" s="110"/>
      <c r="L27" s="110"/>
    </row>
    <row r="28" customFormat="false" ht="25.5" hidden="false" customHeight="true" outlineLevel="0" collapsed="false">
      <c r="A28" s="96" t="s">
        <v>41</v>
      </c>
      <c r="B28" s="96"/>
      <c r="C28" s="38" t="s">
        <v>81</v>
      </c>
      <c r="D28" s="38"/>
      <c r="E28" s="39" t="s">
        <v>33</v>
      </c>
      <c r="F28" s="50"/>
      <c r="G28" s="41"/>
      <c r="H28" s="98"/>
      <c r="I28" s="99"/>
      <c r="J28" s="99"/>
      <c r="K28" s="99"/>
      <c r="L28" s="99"/>
    </row>
    <row r="29" customFormat="false" ht="25.5" hidden="false" customHeight="true" outlineLevel="0" collapsed="false">
      <c r="A29" s="96"/>
      <c r="B29" s="96"/>
      <c r="C29" s="104" t="s">
        <v>82</v>
      </c>
      <c r="D29" s="104"/>
      <c r="E29" s="104"/>
      <c r="F29" s="104"/>
      <c r="G29" s="104"/>
      <c r="H29" s="42"/>
      <c r="I29" s="105"/>
      <c r="J29" s="105"/>
      <c r="K29" s="105"/>
      <c r="L29" s="105"/>
    </row>
    <row r="30" customFormat="false" ht="25.5" hidden="false" customHeight="true" outlineLevel="0" collapsed="false">
      <c r="A30" s="96"/>
      <c r="B30" s="96"/>
      <c r="C30" s="44" t="s">
        <v>76</v>
      </c>
      <c r="D30" s="44"/>
      <c r="E30" s="45"/>
      <c r="F30" s="45"/>
      <c r="G30" s="111"/>
      <c r="H30" s="109" t="n">
        <f aca="false">SUM(H28)</f>
        <v>0</v>
      </c>
      <c r="I30" s="110"/>
      <c r="J30" s="110"/>
      <c r="K30" s="110"/>
      <c r="L30" s="110"/>
    </row>
    <row r="31" customFormat="false" ht="25.5" hidden="false" customHeight="true" outlineLevel="0" collapsed="false">
      <c r="A31" s="112" t="s">
        <v>49</v>
      </c>
      <c r="B31" s="112"/>
      <c r="C31" s="38"/>
      <c r="D31" s="38"/>
      <c r="E31" s="40" t="s">
        <v>83</v>
      </c>
      <c r="F31" s="40"/>
      <c r="G31" s="113"/>
      <c r="H31" s="114"/>
      <c r="I31" s="99"/>
      <c r="J31" s="99"/>
      <c r="K31" s="99"/>
      <c r="L31" s="99"/>
    </row>
    <row r="32" customFormat="false" ht="25.5" hidden="false" customHeight="true" outlineLevel="0" collapsed="false">
      <c r="A32" s="112"/>
      <c r="B32" s="112"/>
      <c r="C32" s="115" t="s">
        <v>84</v>
      </c>
      <c r="D32" s="115"/>
      <c r="E32" s="116" t="n">
        <v>0</v>
      </c>
      <c r="F32" s="50"/>
      <c r="G32" s="117"/>
      <c r="H32" s="118"/>
      <c r="I32" s="99"/>
      <c r="J32" s="99"/>
      <c r="K32" s="99"/>
      <c r="L32" s="99"/>
    </row>
    <row r="33" customFormat="false" ht="25.5" hidden="false" customHeight="true" outlineLevel="0" collapsed="false">
      <c r="A33" s="112"/>
      <c r="B33" s="112"/>
      <c r="C33" s="115" t="s">
        <v>85</v>
      </c>
      <c r="D33" s="115"/>
      <c r="E33" s="116" t="n">
        <v>0</v>
      </c>
      <c r="F33" s="50"/>
      <c r="G33" s="117"/>
      <c r="H33" s="118"/>
      <c r="I33" s="99"/>
      <c r="J33" s="99"/>
      <c r="K33" s="99"/>
      <c r="L33" s="99"/>
    </row>
    <row r="34" customFormat="false" ht="25.5" hidden="false" customHeight="true" outlineLevel="0" collapsed="false">
      <c r="A34" s="112"/>
      <c r="B34" s="112"/>
      <c r="C34" s="115" t="s">
        <v>86</v>
      </c>
      <c r="D34" s="115"/>
      <c r="E34" s="116" t="n">
        <v>0</v>
      </c>
      <c r="F34" s="50"/>
      <c r="G34" s="117"/>
      <c r="H34" s="118"/>
      <c r="I34" s="99"/>
      <c r="J34" s="99"/>
      <c r="K34" s="99"/>
      <c r="L34" s="99"/>
    </row>
    <row r="35" customFormat="false" ht="25.5" hidden="false" customHeight="true" outlineLevel="0" collapsed="false">
      <c r="A35" s="112"/>
      <c r="B35" s="112"/>
      <c r="C35" s="66" t="s">
        <v>87</v>
      </c>
      <c r="D35" s="66"/>
      <c r="E35" s="119" t="n">
        <v>0</v>
      </c>
      <c r="F35" s="120"/>
      <c r="G35" s="121"/>
      <c r="H35" s="122" t="n">
        <f aca="false">SUM(H32:H34)</f>
        <v>0</v>
      </c>
      <c r="I35" s="123"/>
      <c r="J35" s="124"/>
      <c r="K35" s="124"/>
      <c r="L35" s="125"/>
    </row>
    <row r="36" customFormat="false" ht="25.5" hidden="false" customHeight="true" outlineLevel="0" collapsed="false">
      <c r="A36" s="112"/>
      <c r="B36" s="112"/>
      <c r="C36" s="126" t="s">
        <v>88</v>
      </c>
      <c r="D36" s="126"/>
      <c r="E36" s="126"/>
      <c r="F36" s="126"/>
      <c r="G36" s="126"/>
      <c r="H36" s="127" t="n">
        <v>0</v>
      </c>
      <c r="I36" s="99"/>
      <c r="J36" s="99"/>
      <c r="K36" s="99"/>
      <c r="L36" s="99"/>
    </row>
    <row r="37" customFormat="false" ht="25.5" hidden="false" customHeight="true" outlineLevel="0" collapsed="false">
      <c r="A37" s="112"/>
      <c r="B37" s="112"/>
      <c r="C37" s="39" t="s">
        <v>89</v>
      </c>
      <c r="D37" s="39"/>
      <c r="E37" s="128" t="n">
        <v>0</v>
      </c>
      <c r="F37" s="39"/>
      <c r="G37" s="129"/>
      <c r="H37" s="118"/>
      <c r="I37" s="99"/>
      <c r="J37" s="99"/>
      <c r="K37" s="99"/>
      <c r="L37" s="99"/>
    </row>
    <row r="38" customFormat="false" ht="25.5" hidden="false" customHeight="true" outlineLevel="0" collapsed="false">
      <c r="A38" s="112"/>
      <c r="B38" s="112"/>
      <c r="C38" s="87" t="s">
        <v>90</v>
      </c>
      <c r="D38" s="87"/>
      <c r="E38" s="87"/>
      <c r="F38" s="87"/>
      <c r="G38" s="87"/>
      <c r="H38" s="130" t="n">
        <f aca="false">H35+H36+H37</f>
        <v>0</v>
      </c>
      <c r="I38" s="131" t="s">
        <v>91</v>
      </c>
      <c r="J38" s="131"/>
      <c r="K38" s="131"/>
      <c r="L38" s="131"/>
    </row>
    <row r="39" customFormat="false" ht="25.5" hidden="false" customHeight="true" outlineLevel="0" collapsed="false">
      <c r="A39" s="112"/>
      <c r="B39" s="112"/>
      <c r="C39" s="104" t="s">
        <v>92</v>
      </c>
      <c r="D39" s="104"/>
      <c r="E39" s="104"/>
      <c r="F39" s="104"/>
      <c r="G39" s="104"/>
      <c r="H39" s="42"/>
      <c r="I39" s="99"/>
      <c r="J39" s="99"/>
      <c r="K39" s="99"/>
      <c r="L39" s="99"/>
    </row>
    <row r="40" customFormat="false" ht="25.5" hidden="false" customHeight="true" outlineLevel="0" collapsed="false">
      <c r="A40" s="112"/>
      <c r="B40" s="112"/>
      <c r="C40" s="132" t="s">
        <v>53</v>
      </c>
      <c r="D40" s="132"/>
      <c r="E40" s="132"/>
      <c r="F40" s="132"/>
      <c r="G40" s="132"/>
      <c r="H40" s="133" t="s">
        <v>54</v>
      </c>
      <c r="I40" s="99"/>
      <c r="J40" s="99"/>
      <c r="K40" s="99"/>
      <c r="L40" s="99"/>
    </row>
    <row r="41" customFormat="false" ht="25.5" hidden="false" customHeight="true" outlineLevel="0" collapsed="false">
      <c r="A41" s="112"/>
      <c r="B41" s="112"/>
      <c r="C41" s="44" t="s">
        <v>76</v>
      </c>
      <c r="D41" s="44"/>
      <c r="E41" s="134"/>
      <c r="F41" s="44"/>
      <c r="G41" s="134"/>
      <c r="H41" s="109" t="n">
        <f aca="false">H38*G31</f>
        <v>0</v>
      </c>
      <c r="I41" s="101"/>
      <c r="J41" s="102"/>
      <c r="K41" s="102"/>
      <c r="L41" s="103"/>
    </row>
    <row r="42" customFormat="false" ht="25.5" hidden="false" customHeight="true" outlineLevel="0" collapsed="false">
      <c r="A42" s="50" t="s">
        <v>55</v>
      </c>
      <c r="B42" s="50"/>
      <c r="C42" s="39" t="s">
        <v>93</v>
      </c>
      <c r="D42" s="39"/>
      <c r="E42" s="38" t="s">
        <v>33</v>
      </c>
      <c r="F42" s="39"/>
      <c r="G42" s="51"/>
      <c r="H42" s="98"/>
      <c r="I42" s="99"/>
      <c r="J42" s="99"/>
      <c r="K42" s="99"/>
      <c r="L42" s="99"/>
    </row>
    <row r="43" customFormat="false" ht="25.5" hidden="false" customHeight="true" outlineLevel="0" collapsed="false">
      <c r="A43" s="50"/>
      <c r="B43" s="50"/>
      <c r="C43" s="39" t="s">
        <v>94</v>
      </c>
      <c r="D43" s="39"/>
      <c r="E43" s="38" t="s">
        <v>33</v>
      </c>
      <c r="F43" s="39"/>
      <c r="G43" s="51"/>
      <c r="H43" s="98"/>
      <c r="I43" s="99"/>
      <c r="J43" s="99"/>
      <c r="K43" s="99"/>
      <c r="L43" s="99"/>
    </row>
    <row r="44" customFormat="false" ht="25.5" hidden="false" customHeight="true" outlineLevel="0" collapsed="false">
      <c r="A44" s="50"/>
      <c r="B44" s="50"/>
      <c r="C44" s="39" t="s">
        <v>95</v>
      </c>
      <c r="D44" s="39"/>
      <c r="E44" s="38" t="s">
        <v>33</v>
      </c>
      <c r="F44" s="39"/>
      <c r="G44" s="51"/>
      <c r="H44" s="98"/>
      <c r="I44" s="99"/>
      <c r="J44" s="99"/>
      <c r="K44" s="99"/>
      <c r="L44" s="99"/>
    </row>
    <row r="45" customFormat="false" ht="25.5" hidden="false" customHeight="true" outlineLevel="0" collapsed="false">
      <c r="A45" s="50"/>
      <c r="B45" s="50"/>
      <c r="C45" s="39" t="s">
        <v>96</v>
      </c>
      <c r="D45" s="39"/>
      <c r="E45" s="38" t="s">
        <v>33</v>
      </c>
      <c r="F45" s="39"/>
      <c r="G45" s="51"/>
      <c r="H45" s="98"/>
      <c r="I45" s="99"/>
      <c r="J45" s="99"/>
      <c r="K45" s="99"/>
      <c r="L45" s="99"/>
    </row>
    <row r="46" customFormat="false" ht="25.5" hidden="false" customHeight="true" outlineLevel="0" collapsed="false">
      <c r="A46" s="50"/>
      <c r="B46" s="50"/>
      <c r="C46" s="39" t="s">
        <v>35</v>
      </c>
      <c r="D46" s="39"/>
      <c r="E46" s="50"/>
      <c r="F46" s="39"/>
      <c r="G46" s="51"/>
      <c r="H46" s="98"/>
      <c r="I46" s="135"/>
      <c r="J46" s="135"/>
      <c r="K46" s="135"/>
      <c r="L46" s="135"/>
    </row>
    <row r="47" customFormat="false" ht="25.5" hidden="false" customHeight="true" outlineLevel="0" collapsed="false">
      <c r="A47" s="50"/>
      <c r="B47" s="50"/>
      <c r="C47" s="44" t="s">
        <v>76</v>
      </c>
      <c r="D47" s="44"/>
      <c r="E47" s="136"/>
      <c r="F47" s="137"/>
      <c r="G47" s="138"/>
      <c r="H47" s="109" t="n">
        <f aca="false">SUM(H42:H46)</f>
        <v>0</v>
      </c>
      <c r="I47" s="101"/>
      <c r="J47" s="102"/>
      <c r="K47" s="102"/>
      <c r="L47" s="103"/>
    </row>
    <row r="48" customFormat="false" ht="25.5" hidden="false" customHeight="true" outlineLevel="0" collapsed="false">
      <c r="A48" s="139" t="s">
        <v>65</v>
      </c>
      <c r="B48" s="139"/>
      <c r="C48" s="140" t="s">
        <v>66</v>
      </c>
      <c r="D48" s="140"/>
      <c r="E48" s="139"/>
      <c r="F48" s="140"/>
      <c r="G48" s="81"/>
      <c r="H48" s="141" t="n">
        <f aca="false">H21+H27+H30+H41+H47</f>
        <v>0</v>
      </c>
      <c r="I48" s="142"/>
      <c r="J48" s="142"/>
      <c r="K48" s="142"/>
      <c r="L48" s="142"/>
    </row>
    <row r="49" customFormat="false" ht="7.5" hidden="false" customHeight="true" outlineLevel="0" collapsed="false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</row>
    <row r="50" customFormat="false" ht="24" hidden="false" customHeight="true" outlineLevel="0" collapsed="false">
      <c r="A50" s="3" t="s">
        <v>70</v>
      </c>
      <c r="B50" s="4" t="s">
        <v>2</v>
      </c>
      <c r="C50" s="4" t="s">
        <v>3</v>
      </c>
      <c r="D50" s="5" t="s">
        <v>4</v>
      </c>
      <c r="E50" s="24"/>
      <c r="F50" s="24"/>
      <c r="G50" s="24"/>
      <c r="H50" s="24"/>
      <c r="I50" s="24"/>
      <c r="J50" s="24"/>
      <c r="K50" s="90" t="s">
        <v>3</v>
      </c>
      <c r="L50" s="5" t="s">
        <v>4</v>
      </c>
    </row>
    <row r="51" customFormat="false" ht="120" hidden="false" customHeight="true" outlineLevel="0" collapsed="false">
      <c r="A51" s="3"/>
      <c r="B51" s="7"/>
      <c r="C51" s="7"/>
      <c r="D51" s="8"/>
      <c r="E51" s="24"/>
      <c r="F51" s="24"/>
      <c r="G51" s="24"/>
      <c r="H51" s="24"/>
      <c r="I51" s="24"/>
      <c r="J51" s="24"/>
      <c r="K51" s="91"/>
      <c r="L51" s="8"/>
    </row>
    <row r="52" customFormat="false" ht="24" hidden="false" customHeight="true" outlineLevel="0" collapsed="false">
      <c r="A52" s="3"/>
      <c r="B52" s="12" t="s">
        <v>9</v>
      </c>
      <c r="C52" s="13" t="s">
        <v>9</v>
      </c>
      <c r="D52" s="14" t="s">
        <v>9</v>
      </c>
      <c r="E52" s="24"/>
      <c r="F52" s="24"/>
      <c r="G52" s="24"/>
      <c r="H52" s="24"/>
      <c r="I52" s="24"/>
      <c r="J52" s="24"/>
      <c r="K52" s="92" t="s">
        <v>9</v>
      </c>
      <c r="L52" s="14" t="s">
        <v>9</v>
      </c>
    </row>
    <row r="53" customFormat="false" ht="18" hidden="false" customHeight="false" outlineLevel="0" collapsed="false">
      <c r="A53" s="93" t="s">
        <v>71</v>
      </c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3"/>
    </row>
  </sheetData>
  <mergeCells count="92">
    <mergeCell ref="A1:H2"/>
    <mergeCell ref="I1:I3"/>
    <mergeCell ref="A3:B3"/>
    <mergeCell ref="C3:D3"/>
    <mergeCell ref="E3:F3"/>
    <mergeCell ref="G3:H3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18:B23"/>
    <mergeCell ref="C18:D18"/>
    <mergeCell ref="I18:L18"/>
    <mergeCell ref="C19:D19"/>
    <mergeCell ref="I19:L19"/>
    <mergeCell ref="C20:D20"/>
    <mergeCell ref="I20:L20"/>
    <mergeCell ref="C21:D21"/>
    <mergeCell ref="C22:G22"/>
    <mergeCell ref="I22:L22"/>
    <mergeCell ref="C23:G23"/>
    <mergeCell ref="I23:L23"/>
    <mergeCell ref="A24:B27"/>
    <mergeCell ref="C24:D24"/>
    <mergeCell ref="I24:L24"/>
    <mergeCell ref="C25:D25"/>
    <mergeCell ref="I25:L25"/>
    <mergeCell ref="C26:D26"/>
    <mergeCell ref="I26:L26"/>
    <mergeCell ref="C27:D27"/>
    <mergeCell ref="I27:L27"/>
    <mergeCell ref="A28:B30"/>
    <mergeCell ref="C28:D28"/>
    <mergeCell ref="I28:L28"/>
    <mergeCell ref="C29:G29"/>
    <mergeCell ref="I29:L29"/>
    <mergeCell ref="C30:D30"/>
    <mergeCell ref="I30:L30"/>
    <mergeCell ref="A31:B41"/>
    <mergeCell ref="C31:D31"/>
    <mergeCell ref="I31:L31"/>
    <mergeCell ref="C32:D32"/>
    <mergeCell ref="I32:L32"/>
    <mergeCell ref="C33:D33"/>
    <mergeCell ref="I33:L33"/>
    <mergeCell ref="C34:D34"/>
    <mergeCell ref="I34:L34"/>
    <mergeCell ref="C35:D35"/>
    <mergeCell ref="C36:G36"/>
    <mergeCell ref="I36:L36"/>
    <mergeCell ref="C37:D37"/>
    <mergeCell ref="I37:L37"/>
    <mergeCell ref="C38:G38"/>
    <mergeCell ref="I38:L38"/>
    <mergeCell ref="C39:G39"/>
    <mergeCell ref="I39:L39"/>
    <mergeCell ref="C40:G40"/>
    <mergeCell ref="I40:L40"/>
    <mergeCell ref="C41:D41"/>
    <mergeCell ref="A42:B47"/>
    <mergeCell ref="C42:D42"/>
    <mergeCell ref="I42:L42"/>
    <mergeCell ref="C43:D43"/>
    <mergeCell ref="I43:L43"/>
    <mergeCell ref="C44:D44"/>
    <mergeCell ref="I44:L44"/>
    <mergeCell ref="C45:D45"/>
    <mergeCell ref="I45:L45"/>
    <mergeCell ref="C46:D46"/>
    <mergeCell ref="I46:L46"/>
    <mergeCell ref="C47:D47"/>
    <mergeCell ref="A48:B48"/>
    <mergeCell ref="C48:D48"/>
    <mergeCell ref="I48:L48"/>
    <mergeCell ref="A50:A52"/>
    <mergeCell ref="A53:L53"/>
  </mergeCells>
  <printOptions headings="false" gridLines="false" gridLinesSet="true" horizontalCentered="true" verticalCentered="true"/>
  <pageMargins left="0.25" right="0.2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LibreOffice/25.8.2.2$MacOSX_AARCH64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2025-11-11T04:02:44Z</dcterms:created>
  <dc:creator>현진 김</dc:creator>
  <dc:description/>
  <dc:language>ko-KR</dc:language>
  <cp:lastModifiedBy/>
  <cp:lastPrinted>2025-11-12T10:39:32Z</cp:lastPrinted>
  <dcterms:modified xsi:type="dcterms:W3CDTF">2026-01-14T09:43:30Z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